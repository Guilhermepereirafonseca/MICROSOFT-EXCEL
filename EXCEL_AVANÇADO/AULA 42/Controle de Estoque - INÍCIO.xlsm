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42\"/>
    </mc:Choice>
  </mc:AlternateContent>
  <xr:revisionPtr revIDLastSave="0" documentId="13_ncr:1_{03900C0A-D92E-463E-ADC6-DEC3E8B4D5D3}" xr6:coauthVersionLast="47" xr6:coauthVersionMax="47" xr10:uidLastSave="{00000000-0000-0000-0000-000000000000}"/>
  <bookViews>
    <workbookView xWindow="735" yWindow="735" windowWidth="15375" windowHeight="7875" activeTab="1" xr2:uid="{79853337-55DE-4D85-A7F0-61575899257C}"/>
  </bookViews>
  <sheets>
    <sheet name="Produtos" sheetId="1" r:id="rId1"/>
    <sheet name="Movimentação" sheetId="2" r:id="rId2"/>
  </sheets>
  <definedNames>
    <definedName name="codigo_produto">Movimentação!$A$4</definedName>
    <definedName name="data_produto">Movimentação!$E$4</definedName>
    <definedName name="entrada_produto">Movimentação!$C$4</definedName>
    <definedName name="nome_produto">Movimentação!$B$4</definedName>
    <definedName name="saida_produto">Movimentação!$D$4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C7" i="1"/>
  <c r="C8" i="1"/>
  <c r="D7" i="1"/>
  <c r="E7" i="1" s="1"/>
  <c r="D8" i="1"/>
  <c r="C5" i="1"/>
  <c r="J5" i="2" s="1"/>
  <c r="D5" i="1"/>
  <c r="J6" i="2" l="1"/>
  <c r="E8" i="1"/>
  <c r="E5" i="1"/>
  <c r="J4" i="2" s="1"/>
  <c r="D6" i="1"/>
  <c r="C6" i="1" l="1"/>
  <c r="E6" i="1" l="1"/>
</calcChain>
</file>

<file path=xl/sharedStrings.xml><?xml version="1.0" encoding="utf-8"?>
<sst xmlns="http://schemas.openxmlformats.org/spreadsheetml/2006/main" count="26" uniqueCount="15">
  <si>
    <t>Código</t>
  </si>
  <si>
    <t>Produto</t>
  </si>
  <si>
    <t>Entradas</t>
  </si>
  <si>
    <t>Saídas</t>
  </si>
  <si>
    <t>Saldo</t>
  </si>
  <si>
    <t>Produtos</t>
  </si>
  <si>
    <t>Movimentação Produtos</t>
  </si>
  <si>
    <t xml:space="preserve">Entradas </t>
  </si>
  <si>
    <t>Informações</t>
  </si>
  <si>
    <t>Estoque Atual</t>
  </si>
  <si>
    <t>Data</t>
  </si>
  <si>
    <t>Pen Drive</t>
  </si>
  <si>
    <t>Mouse</t>
  </si>
  <si>
    <t>Teclado</t>
  </si>
  <si>
    <t>Monitor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</si>
</sst>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&quot;/&quot;00&quot;/&quot;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theme="0"/>
      <name val="Berlin Sans FB Demi"/>
      <family val="2"/>
    </font>
    <font>
      <b/>
      <sz val="14"/>
      <color theme="1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theme="7" tint="-0.249977111117893"/>
      <name val="Aardvark Cafe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3" borderId="0" xfId="0" applyFill="1"/>
    <xf numFmtId="0" fontId="4" fillId="4" borderId="2" xfId="0" applyFont="1" applyFill="1" applyBorder="1"/>
    <xf numFmtId="0" fontId="4" fillId="4" borderId="3" xfId="0" applyFont="1" applyFill="1" applyBorder="1"/>
    <xf numFmtId="0" fontId="0" fillId="4" borderId="5" xfId="0" applyFill="1" applyBorder="1"/>
    <xf numFmtId="0" fontId="0" fillId="4" borderId="4" xfId="0" applyFill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0" fontId="5" fillId="0" borderId="0" xfId="0" applyFont="1"/>
    <xf numFmtId="0" fontId="2" fillId="2" borderId="0" xfId="0" applyFont="1" applyFill="1" applyAlignment="1"/>
    <xf numFmtId="0" fontId="3" fillId="6" borderId="7" xfId="0" applyFont="1" applyFill="1" applyBorder="1"/>
    <xf numFmtId="0" fontId="0" fillId="6" borderId="7" xfId="0" applyFill="1" applyBorder="1"/>
    <xf numFmtId="0" fontId="6" fillId="0" borderId="0" xfId="0" applyFont="1"/>
    <xf numFmtId="164" fontId="6" fillId="0" borderId="0" xfId="0" applyNumberFormat="1" applyFont="1"/>
    <xf numFmtId="0" fontId="0" fillId="7" borderId="0" xfId="0" applyFill="1"/>
    <xf numFmtId="0" fontId="3" fillId="7" borderId="0" xfId="0" applyFont="1" applyFill="1"/>
    <xf numFmtId="164" fontId="0" fillId="7" borderId="0" xfId="0" applyNumberFormat="1" applyFill="1"/>
    <xf numFmtId="0" fontId="0" fillId="0" borderId="0" xfId="0" applyNumberFormat="1"/>
    <xf numFmtId="14" fontId="0" fillId="4" borderId="6" xfId="0" applyNumberFormat="1" applyFill="1" applyBorder="1"/>
    <xf numFmtId="0" fontId="7" fillId="8" borderId="0" xfId="0" applyFont="1" applyFill="1" applyAlignment="1">
      <alignment horizontal="center" vertical="center"/>
    </xf>
    <xf numFmtId="0" fontId="4" fillId="5" borderId="7" xfId="0" applyFont="1" applyFill="1" applyBorder="1" applyAlignment="1">
      <alignment horizontal="center"/>
    </xf>
  </cellXfs>
  <cellStyles count="1">
    <cellStyle name="Normal" xfId="0" builtinId="0"/>
  </cellStyles>
  <dxfs count="9"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0&quot;/&quot;00&quot;/&quot;000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A$4" fmlaRange="Produtos!$B$5:$B$8" sel="0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9525</xdr:rowOff>
        </xdr:from>
        <xdr:to>
          <xdr:col>1</xdr:col>
          <xdr:colOff>1543050</xdr:colOff>
          <xdr:row>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78706</xdr:colOff>
          <xdr:row>4</xdr:row>
          <xdr:rowOff>76200</xdr:rowOff>
        </xdr:from>
        <xdr:to>
          <xdr:col>1</xdr:col>
          <xdr:colOff>1423738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6C43D2-4E9F-4BF7-A21A-B4AFCABF57DE}" name="Tabela1" displayName="Tabela1" ref="A4:E8" totalsRowShown="0" headerRowDxfId="8">
  <autoFilter ref="A4:E8" xr:uid="{7AB8861A-6AD9-4C61-9931-135A62E41250}"/>
  <tableColumns count="5">
    <tableColumn id="1" xr3:uid="{F5359806-6181-4CE7-846C-FE594B819E8C}" name="Código"/>
    <tableColumn id="2" xr3:uid="{433A1A5C-FF55-4C38-B178-444B842F1681}" name="Produto"/>
    <tableColumn id="3" xr3:uid="{D1B16F65-C538-44BB-AFFA-280C5EF7852C}" name="Entradas">
      <calculatedColumnFormula>SUMIF(Tabela2[Código],Tabela1[[#This Row],[Código]],Tabela2[Entradas])</calculatedColumnFormula>
    </tableColumn>
    <tableColumn id="4" xr3:uid="{EFD1AF7E-08BE-412F-868A-950647AD7DC5}" name="Saídas" dataDxfId="7">
      <calculatedColumnFormula>SUMIF(Tabela2[Código],Tabela1[[#This Row],[Código]],Tabela2[Saídas])</calculatedColumnFormula>
    </tableColumn>
    <tableColumn id="5" xr3:uid="{E4603FD1-571C-4FBC-A0C3-8894E7B671FF}" name="Saldo">
      <calculatedColumnFormula>Tabela1[[#This Row],[Entradas]]-Tabela1[[#This Row],[Saídas]]</calculatedColumnFormula>
    </tableColumn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2D9DAB-E001-4B55-8175-412F740EDA38}" name="Tabela2" displayName="Tabela2" ref="A12:E13" totalsRowShown="0" headerRowDxfId="6" dataDxfId="2">
  <autoFilter ref="A12:E13" xr:uid="{6A35D022-C413-4BFC-858E-BF9EFCC6CE48}"/>
  <tableColumns count="5">
    <tableColumn id="1" xr3:uid="{16834B3F-90D1-4719-8883-6715143EAD0F}" name="Código" dataDxfId="5"/>
    <tableColumn id="2" xr3:uid="{29CE706A-629F-41DF-B83D-441074E2D277}" name="Produto" dataDxfId="4"/>
    <tableColumn id="3" xr3:uid="{45D0DA08-0E5D-4985-A030-8637986BE0A5}" name="Entradas" dataDxfId="3"/>
    <tableColumn id="4" xr3:uid="{51604C9B-BFAA-4AD5-A55F-3EAB86723BDA}" name="Saídas" dataDxfId="1"/>
    <tableColumn id="5" xr3:uid="{3B4D608F-2C4A-47C9-89A0-62F11C34570D}" name="Dat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337B6-77E2-49B2-8ECE-529B412E897B}">
  <sheetPr codeName="Planilha1"/>
  <dimension ref="A1:E8"/>
  <sheetViews>
    <sheetView workbookViewId="0">
      <selection activeCell="F1" sqref="F1"/>
    </sheetView>
  </sheetViews>
  <sheetFormatPr defaultRowHeight="15"/>
  <cols>
    <col min="1" max="1" width="9.28515625" customWidth="1"/>
    <col min="2" max="2" width="25" customWidth="1"/>
    <col min="3" max="3" width="10.7109375" customWidth="1"/>
  </cols>
  <sheetData>
    <row r="1" spans="1:5">
      <c r="A1" s="19" t="s">
        <v>5</v>
      </c>
      <c r="B1" s="19"/>
      <c r="C1" s="19"/>
      <c r="D1" s="19"/>
      <c r="E1" s="19"/>
    </row>
    <row r="2" spans="1:5">
      <c r="A2" s="19"/>
      <c r="B2" s="19"/>
      <c r="C2" s="19"/>
      <c r="D2" s="19"/>
      <c r="E2" s="19"/>
    </row>
    <row r="3" spans="1:5">
      <c r="A3" s="19"/>
      <c r="B3" s="19"/>
      <c r="C3" s="19"/>
      <c r="D3" s="19"/>
      <c r="E3" s="19"/>
    </row>
    <row r="4" spans="1: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</row>
    <row r="5" spans="1:5">
      <c r="A5">
        <v>1</v>
      </c>
      <c r="B5" t="s">
        <v>11</v>
      </c>
      <c r="C5">
        <f>SUMIF(Tabela2[Código],Tabela1[[#This Row],[Código]],Tabela2[Entradas])</f>
        <v>0</v>
      </c>
      <c r="D5">
        <f>SUMIF(Tabela2[Código],Tabela1[[#This Row],[Código]],Tabela2[Saídas])</f>
        <v>0</v>
      </c>
      <c r="E5">
        <f>Tabela1[[#This Row],[Entradas]]-Tabela1[[#This Row],[Saídas]]</f>
        <v>0</v>
      </c>
    </row>
    <row r="6" spans="1:5">
      <c r="A6">
        <v>2</v>
      </c>
      <c r="B6" t="s">
        <v>12</v>
      </c>
      <c r="C6">
        <f>SUMIF(Tabela2[Código],Tabela1[[#This Row],[Código]],Tabela2[Entradas])</f>
        <v>0</v>
      </c>
      <c r="D6">
        <f>SUMIF(Tabela2[Código],Tabela1[[#This Row],[Código]],Tabela2[Saídas])</f>
        <v>0</v>
      </c>
      <c r="E6">
        <f>Tabela1[[#This Row],[Entradas]]-Tabela1[[#This Row],[Saídas]]</f>
        <v>0</v>
      </c>
    </row>
    <row r="7" spans="1:5">
      <c r="A7">
        <v>3</v>
      </c>
      <c r="B7" t="s">
        <v>13</v>
      </c>
      <c r="C7">
        <f>SUMIF(Tabela2[Código],Tabela1[[#This Row],[Código]],Tabela2[Entradas])</f>
        <v>55</v>
      </c>
      <c r="D7" s="17">
        <f>SUMIF(Tabela2[Código],Tabela1[[#This Row],[Código]],Tabela2[Saídas])</f>
        <v>78</v>
      </c>
      <c r="E7">
        <f>Tabela1[[#This Row],[Entradas]]-Tabela1[[#This Row],[Saídas]]</f>
        <v>-23</v>
      </c>
    </row>
    <row r="8" spans="1:5">
      <c r="A8">
        <v>4</v>
      </c>
      <c r="B8" t="s">
        <v>14</v>
      </c>
      <c r="C8">
        <f>SUMIF(Tabela2[Código],Tabela1[[#This Row],[Código]],Tabela2[Entradas])</f>
        <v>0</v>
      </c>
      <c r="D8" s="17">
        <f>SUMIF(Tabela2[Código],Tabela1[[#This Row],[Código]],Tabela2[Saídas])</f>
        <v>0</v>
      </c>
      <c r="E8">
        <f>Tabela1[[#This Row],[Entradas]]-Tabela1[[#This Row],[Saídas]]</f>
        <v>0</v>
      </c>
    </row>
  </sheetData>
  <mergeCells count="1">
    <mergeCell ref="A1:E3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1F97D-3A3C-4A7C-A3D8-184343C79535}">
  <sheetPr codeName="Planilha2"/>
  <dimension ref="A1:S13"/>
  <sheetViews>
    <sheetView tabSelected="1" topLeftCell="C2" zoomScale="130" zoomScaleNormal="130" workbookViewId="0">
      <selection activeCell="H10" sqref="H10"/>
    </sheetView>
  </sheetViews>
  <sheetFormatPr defaultRowHeight="15"/>
  <cols>
    <col min="1" max="1" width="11" customWidth="1"/>
    <col min="2" max="2" width="23.28515625" customWidth="1"/>
    <col min="3" max="3" width="14.85546875" bestFit="1" customWidth="1"/>
    <col min="4" max="4" width="12" customWidth="1"/>
    <col min="5" max="5" width="14.140625" customWidth="1"/>
    <col min="6" max="8" width="9.140625" style="14"/>
    <col min="9" max="9" width="17.28515625" style="14" bestFit="1" customWidth="1"/>
    <col min="10" max="10" width="28" style="14" bestFit="1" customWidth="1"/>
    <col min="11" max="19" width="9.140625" style="14"/>
  </cols>
  <sheetData>
    <row r="1" spans="1:10" s="9" customFormat="1" ht="59.25" customHeight="1">
      <c r="A1" s="9" t="s">
        <v>6</v>
      </c>
    </row>
    <row r="2" spans="1:10" s="2" customFormat="1" ht="15.75" thickBot="1"/>
    <row r="3" spans="1:10" ht="23.25">
      <c r="A3" s="7" t="s">
        <v>0</v>
      </c>
      <c r="B3" s="3" t="s">
        <v>1</v>
      </c>
      <c r="C3" s="3" t="s">
        <v>7</v>
      </c>
      <c r="D3" s="3" t="s">
        <v>3</v>
      </c>
      <c r="E3" s="4" t="s">
        <v>10</v>
      </c>
      <c r="I3" s="20" t="s">
        <v>8</v>
      </c>
      <c r="J3" s="20"/>
    </row>
    <row r="4" spans="1:10" ht="19.5" thickBot="1">
      <c r="A4" s="6"/>
      <c r="B4" s="5" t="e">
        <f>VLOOKUP(A4,Tabela1[#All],2,FALSE)</f>
        <v>#N/A</v>
      </c>
      <c r="C4" s="5">
        <v>55</v>
      </c>
      <c r="D4" s="5"/>
      <c r="E4" s="18"/>
      <c r="I4" s="10" t="s">
        <v>9</v>
      </c>
      <c r="J4" s="11" t="str">
        <f>IFERROR(VLOOKUP(codigo_produto,Tabela1[#All],5,FALSE),"Nenhum produto selecionado")</f>
        <v>Nenhum produto selecionado</v>
      </c>
    </row>
    <row r="5" spans="1:10" ht="18.75">
      <c r="A5" s="14"/>
      <c r="B5" s="14"/>
      <c r="C5" s="14"/>
      <c r="D5" s="14"/>
      <c r="E5" s="14"/>
      <c r="I5" s="10" t="s">
        <v>2</v>
      </c>
      <c r="J5" s="11" t="str">
        <f>IFERROR(VLOOKUP(codigo_produto,Tabela1[#All],3,FALSE),"Nenhum produto selecionado")</f>
        <v>Nenhum produto selecionado</v>
      </c>
    </row>
    <row r="6" spans="1:10" ht="18.75">
      <c r="A6" s="14"/>
      <c r="B6" s="14"/>
      <c r="C6" s="14"/>
      <c r="D6" s="14"/>
      <c r="E6" s="14"/>
      <c r="I6" s="10" t="s">
        <v>3</v>
      </c>
      <c r="J6" s="11" t="str">
        <f>IFERROR(VLOOKUP(codigo_produto,Tabela1[#All],4,FALSE),"Nenhum produto selecionado")</f>
        <v>Nenhum produto selecionado</v>
      </c>
    </row>
    <row r="7" spans="1:10" ht="18.75">
      <c r="A7" s="14"/>
      <c r="B7" s="14"/>
      <c r="C7" s="14"/>
      <c r="D7" s="14"/>
      <c r="E7" s="14"/>
      <c r="I7" s="15"/>
      <c r="J7" s="16"/>
    </row>
    <row r="8" spans="1:10">
      <c r="A8" s="14"/>
      <c r="B8" s="14"/>
      <c r="C8" s="14"/>
      <c r="D8" s="14"/>
      <c r="E8" s="14"/>
    </row>
    <row r="9" spans="1:10">
      <c r="A9" s="14"/>
      <c r="B9" s="14"/>
      <c r="C9" s="14"/>
      <c r="D9" s="14"/>
      <c r="E9" s="14"/>
    </row>
    <row r="10" spans="1:10">
      <c r="A10" s="14"/>
      <c r="B10" s="14"/>
      <c r="C10" s="14"/>
      <c r="D10" s="14"/>
      <c r="E10" s="14"/>
    </row>
    <row r="11" spans="1:10">
      <c r="A11" s="14"/>
      <c r="B11" s="14"/>
      <c r="C11" s="14"/>
      <c r="D11" s="14"/>
      <c r="E11" s="14"/>
    </row>
    <row r="12" spans="1:10" ht="15.75">
      <c r="A12" s="8" t="s">
        <v>0</v>
      </c>
      <c r="B12" s="8" t="s">
        <v>1</v>
      </c>
      <c r="C12" s="8" t="s">
        <v>2</v>
      </c>
      <c r="D12" s="8" t="s">
        <v>3</v>
      </c>
      <c r="E12" s="8" t="s">
        <v>10</v>
      </c>
    </row>
    <row r="13" spans="1:10" ht="15.75">
      <c r="A13" s="12">
        <v>3</v>
      </c>
      <c r="B13" s="12" t="s">
        <v>13</v>
      </c>
      <c r="C13" s="12">
        <v>55</v>
      </c>
      <c r="D13" s="12">
        <v>78</v>
      </c>
      <c r="E13" s="13"/>
    </row>
  </sheetData>
  <mergeCells count="1">
    <mergeCell ref="I3:J3"/>
  </mergeCells>
  <dataValidations count="2">
    <dataValidation type="whole" operator="greaterThanOrEqual" allowBlank="1" showInputMessage="1" showErrorMessage="1" errorTitle="Erro" error="Digite um valor que seja numérico." promptTitle="Dica:" prompt="Insira aqui a quantidade de produtos que entraram." sqref="C4" xr:uid="{1CBC6BB8-BDE8-4FAD-87C2-155E2842110B}">
      <formula1>0</formula1>
    </dataValidation>
    <dataValidation type="whole" operator="greaterThanOrEqual" allowBlank="1" showInputMessage="1" showErrorMessage="1" errorTitle="Erro" error="Digite um valor que seja numérico." promptTitle="Dica" prompt="Insira aqui a quantidade de produtos que tiveram saída." sqref="D4" xr:uid="{A04F1219-0D92-4A6D-8B4D-130279AA4406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28575</xdr:colOff>
                    <xdr:row>3</xdr:row>
                    <xdr:rowOff>9525</xdr:rowOff>
                  </from>
                  <to>
                    <xdr:col>1</xdr:col>
                    <xdr:colOff>1543050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dastro">
                <anchor moveWithCells="1" sizeWithCells="1">
                  <from>
                    <xdr:col>1</xdr:col>
                    <xdr:colOff>76200</xdr:colOff>
                    <xdr:row>4</xdr:row>
                    <xdr:rowOff>76200</xdr:rowOff>
                  </from>
                  <to>
                    <xdr:col>1</xdr:col>
                    <xdr:colOff>1419225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Produtos</vt:lpstr>
      <vt:lpstr>Movimentação</vt:lpstr>
      <vt:lpstr>codigo_produto</vt:lpstr>
      <vt:lpstr>data_produto</vt:lpstr>
      <vt:lpstr>entrada_produto</vt:lpstr>
      <vt:lpstr>nome_produto</vt:lpstr>
      <vt:lpstr>saida_produto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Administrador</cp:lastModifiedBy>
  <dcterms:created xsi:type="dcterms:W3CDTF">2019-05-30T14:09:43Z</dcterms:created>
  <dcterms:modified xsi:type="dcterms:W3CDTF">2024-04-13T16:55:21Z</dcterms:modified>
</cp:coreProperties>
</file>