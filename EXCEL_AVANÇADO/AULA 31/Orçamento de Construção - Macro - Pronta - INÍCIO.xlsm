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eonardo\Desktop\"/>
    </mc:Choice>
  </mc:AlternateContent>
  <xr:revisionPtr revIDLastSave="0" documentId="8_{50DEF3D8-7A8B-49D6-BB51-B459247A67D5}" xr6:coauthVersionLast="47" xr6:coauthVersionMax="47" xr10:uidLastSave="{00000000-0000-0000-0000-000000000000}"/>
  <bookViews>
    <workbookView xWindow="-120" yWindow="-120" windowWidth="29040" windowHeight="15840" activeTab="1" xr2:uid="{1372C189-0989-4EA4-84AB-A0EDB5F97DF7}"/>
  </bookViews>
  <sheets>
    <sheet name="Planejador" sheetId="1" r:id="rId1"/>
    <sheet name="Medidas" sheetId="2" r:id="rId2"/>
    <sheet name="Produtos" sheetId="3" r:id="rId3"/>
    <sheet name="Mão de Obra" sheetId="5" r:id="rId4"/>
    <sheet name="Fornecedores" sheetId="4" r:id="rId5"/>
  </sheets>
  <definedNames>
    <definedName name="Fornecedores" comment="Lita de fornecedores.">Tabela2[Razão Social]</definedName>
    <definedName name="MaoObra">#REF!</definedName>
    <definedName name="MedidasTrabalhador">Tabela19[Medidas]</definedName>
    <definedName name="ProdutosNome">TabelaProdutos[NOME]</definedName>
    <definedName name="Trabalhador">Tabela28[Razão Social]</definedName>
    <definedName name="UnidadesMedidas" comment="Lista de unidades de medidas.">#REF!</definedName>
    <definedName name="VALOR__LOJA_1">TabelaProdutos[Leroy Merlin]</definedName>
    <definedName name="VALOR__LOJA_2">TabelaProdutos[Mercado Livre]</definedName>
    <definedName name="VALOR__LOJA_3">TabelaProdutos[Loja 3]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70" i="2" l="1"/>
  <c r="E76" i="2"/>
  <c r="G76" i="2" s="1"/>
  <c r="E57" i="2"/>
  <c r="E64" i="2"/>
  <c r="E50" i="2"/>
  <c r="E43" i="2"/>
  <c r="E36" i="2"/>
  <c r="E29" i="2"/>
  <c r="E22" i="2"/>
  <c r="B7" i="2"/>
  <c r="G70" i="2" l="1"/>
  <c r="G43" i="2"/>
  <c r="G64" i="2"/>
  <c r="G36" i="2"/>
  <c r="G57" i="2"/>
  <c r="G29" i="2"/>
  <c r="G50" i="2"/>
  <c r="G22" i="2"/>
  <c r="E16" i="2"/>
  <c r="G16" i="2" s="1"/>
  <c r="B38" i="1"/>
  <c r="C38" i="1"/>
  <c r="D38" i="1"/>
  <c r="E38" i="1"/>
  <c r="F38" i="1"/>
  <c r="G38" i="1"/>
  <c r="H38" i="1"/>
  <c r="B37" i="1"/>
  <c r="C37" i="1"/>
  <c r="D37" i="1"/>
  <c r="E37" i="1"/>
  <c r="F37" i="1"/>
  <c r="G37" i="1"/>
  <c r="H37" i="1"/>
  <c r="B36" i="1"/>
  <c r="C36" i="1"/>
  <c r="D36" i="1"/>
  <c r="E36" i="1"/>
  <c r="F36" i="1"/>
  <c r="G36" i="1"/>
  <c r="H36" i="1"/>
  <c r="B35" i="1"/>
  <c r="C35" i="1"/>
  <c r="D35" i="1"/>
  <c r="E35" i="1"/>
  <c r="F35" i="1"/>
  <c r="G35" i="1"/>
  <c r="H35" i="1"/>
  <c r="B34" i="1"/>
  <c r="C34" i="1"/>
  <c r="D34" i="1"/>
  <c r="E34" i="1"/>
  <c r="F34" i="1"/>
  <c r="G34" i="1"/>
  <c r="H34" i="1"/>
  <c r="B33" i="1"/>
  <c r="C33" i="1"/>
  <c r="D33" i="1"/>
  <c r="E33" i="1"/>
  <c r="F33" i="1"/>
  <c r="G33" i="1"/>
  <c r="H33" i="1"/>
  <c r="B32" i="1"/>
  <c r="C32" i="1"/>
  <c r="D32" i="1"/>
  <c r="E32" i="1"/>
  <c r="F32" i="1"/>
  <c r="G32" i="1"/>
  <c r="H32" i="1"/>
  <c r="B31" i="1"/>
  <c r="C31" i="1"/>
  <c r="D31" i="1"/>
  <c r="E31" i="1"/>
  <c r="F31" i="1"/>
  <c r="G31" i="1"/>
  <c r="H31" i="1"/>
  <c r="B13" i="1"/>
  <c r="I35" i="1" l="1"/>
  <c r="J35" i="1" s="1"/>
  <c r="I36" i="1"/>
  <c r="J36" i="1" s="1"/>
  <c r="I38" i="1"/>
  <c r="J38" i="1" s="1"/>
  <c r="I37" i="1"/>
  <c r="J37" i="1" s="1"/>
  <c r="I34" i="1"/>
  <c r="J34" i="1" s="1"/>
  <c r="I33" i="1"/>
  <c r="J33" i="1" s="1"/>
  <c r="I32" i="1"/>
  <c r="J32" i="1" s="1"/>
  <c r="I31" i="1"/>
  <c r="J31" i="1" s="1"/>
  <c r="H13" i="1"/>
  <c r="H14" i="1"/>
  <c r="B30" i="1" l="1"/>
  <c r="C30" i="1"/>
  <c r="D30" i="1"/>
  <c r="E30" i="1"/>
  <c r="F30" i="1"/>
  <c r="G30" i="1"/>
  <c r="H30" i="1"/>
  <c r="B29" i="1"/>
  <c r="C29" i="1"/>
  <c r="D29" i="1"/>
  <c r="E29" i="1"/>
  <c r="F29" i="1"/>
  <c r="G29" i="1"/>
  <c r="H29" i="1"/>
  <c r="B28" i="1"/>
  <c r="C28" i="1"/>
  <c r="D28" i="1"/>
  <c r="E28" i="1"/>
  <c r="F28" i="1"/>
  <c r="G28" i="1"/>
  <c r="H28" i="1"/>
  <c r="B27" i="1"/>
  <c r="C27" i="1"/>
  <c r="D27" i="1"/>
  <c r="E27" i="1"/>
  <c r="F27" i="1"/>
  <c r="G27" i="1"/>
  <c r="H27" i="1"/>
  <c r="B26" i="1"/>
  <c r="C26" i="1"/>
  <c r="D26" i="1"/>
  <c r="E26" i="1"/>
  <c r="F26" i="1"/>
  <c r="G26" i="1"/>
  <c r="H26" i="1"/>
  <c r="B25" i="1"/>
  <c r="C25" i="1"/>
  <c r="D25" i="1"/>
  <c r="E25" i="1"/>
  <c r="F25" i="1"/>
  <c r="G25" i="1"/>
  <c r="H25" i="1"/>
  <c r="B24" i="1"/>
  <c r="C24" i="1"/>
  <c r="D24" i="1"/>
  <c r="E24" i="1"/>
  <c r="F24" i="1"/>
  <c r="G24" i="1"/>
  <c r="H24" i="1"/>
  <c r="B23" i="1"/>
  <c r="C23" i="1"/>
  <c r="D23" i="1"/>
  <c r="E23" i="1"/>
  <c r="F23" i="1"/>
  <c r="G23" i="1"/>
  <c r="H23" i="1"/>
  <c r="B14" i="1"/>
  <c r="B15" i="1"/>
  <c r="B16" i="1"/>
  <c r="B17" i="1"/>
  <c r="B18" i="1"/>
  <c r="B19" i="1"/>
  <c r="B20" i="1"/>
  <c r="B21" i="1"/>
  <c r="B22" i="1"/>
  <c r="H15" i="1"/>
  <c r="H16" i="1"/>
  <c r="H17" i="1"/>
  <c r="H18" i="1"/>
  <c r="H19" i="1"/>
  <c r="H20" i="1"/>
  <c r="H21" i="1"/>
  <c r="H22" i="1"/>
  <c r="G13" i="1"/>
  <c r="G14" i="1"/>
  <c r="G15" i="1"/>
  <c r="G16" i="1"/>
  <c r="G17" i="1"/>
  <c r="G18" i="1"/>
  <c r="G19" i="1"/>
  <c r="G20" i="1"/>
  <c r="G21" i="1"/>
  <c r="G22" i="1"/>
  <c r="F13" i="1"/>
  <c r="F14" i="1"/>
  <c r="F15" i="1"/>
  <c r="F16" i="1"/>
  <c r="F17" i="1"/>
  <c r="F18" i="1"/>
  <c r="F19" i="1"/>
  <c r="F20" i="1"/>
  <c r="F21" i="1"/>
  <c r="F22" i="1"/>
  <c r="E13" i="1"/>
  <c r="E14" i="1"/>
  <c r="E15" i="1"/>
  <c r="E16" i="1"/>
  <c r="E17" i="1"/>
  <c r="E18" i="1"/>
  <c r="E19" i="1"/>
  <c r="E20" i="1"/>
  <c r="E21" i="1"/>
  <c r="E22" i="1"/>
  <c r="H4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D13" i="1"/>
  <c r="C13" i="1"/>
  <c r="D7" i="1" l="1"/>
  <c r="E7" i="1"/>
  <c r="I30" i="1"/>
  <c r="J30" i="1" s="1"/>
  <c r="I22" i="1"/>
  <c r="J22" i="1" s="1"/>
  <c r="I18" i="1"/>
  <c r="J18" i="1" s="1"/>
  <c r="I14" i="1"/>
  <c r="J14" i="1" s="1"/>
  <c r="I23" i="1"/>
  <c r="J23" i="1" s="1"/>
  <c r="I27" i="1"/>
  <c r="J27" i="1" s="1"/>
  <c r="I21" i="1"/>
  <c r="J21" i="1" s="1"/>
  <c r="I17" i="1"/>
  <c r="J17" i="1" s="1"/>
  <c r="I13" i="1"/>
  <c r="J13" i="1" s="1"/>
  <c r="I26" i="1"/>
  <c r="J26" i="1" s="1"/>
  <c r="I20" i="1"/>
  <c r="J20" i="1" s="1"/>
  <c r="I16" i="1"/>
  <c r="J16" i="1" s="1"/>
  <c r="I25" i="1"/>
  <c r="J25" i="1" s="1"/>
  <c r="I19" i="1"/>
  <c r="J19" i="1" s="1"/>
  <c r="I15" i="1"/>
  <c r="J15" i="1" s="1"/>
  <c r="I24" i="1"/>
  <c r="J24" i="1" s="1"/>
  <c r="I28" i="1"/>
  <c r="J28" i="1" s="1"/>
  <c r="I29" i="1"/>
  <c r="F7" i="1"/>
  <c r="H7" i="1"/>
  <c r="G7" i="1"/>
  <c r="C7" i="1"/>
  <c r="I7" i="1" l="1"/>
  <c r="J29" i="1"/>
  <c r="J7" i="1" s="1"/>
  <c r="B7" i="1" l="1"/>
  <c r="K7" i="1" s="1"/>
  <c r="E9" i="2" l="1"/>
  <c r="G9" i="2" s="1"/>
  <c r="D5" i="2" s="1"/>
  <c r="D6" i="2" s="1"/>
  <c r="D4" i="2" l="1"/>
  <c r="D7" i="2" l="1"/>
</calcChain>
</file>

<file path=xl/sharedStrings.xml><?xml version="1.0" encoding="utf-8"?>
<sst xmlns="http://schemas.openxmlformats.org/spreadsheetml/2006/main" count="304" uniqueCount="114">
  <si>
    <t>Parede 1</t>
  </si>
  <si>
    <t>Parede 2</t>
  </si>
  <si>
    <t>Parede 3</t>
  </si>
  <si>
    <t>Parede 4</t>
  </si>
  <si>
    <t>Largura</t>
  </si>
  <si>
    <t>Abertura 1 L</t>
  </si>
  <si>
    <t>Abertura 1 A</t>
  </si>
  <si>
    <t>Abertura 2 L</t>
  </si>
  <si>
    <t>Abertura 2 A</t>
  </si>
  <si>
    <t>Total m²</t>
  </si>
  <si>
    <t>Qtd. Tijolos</t>
  </si>
  <si>
    <t>Banheiro</t>
  </si>
  <si>
    <t>Quarto 1</t>
  </si>
  <si>
    <t>Quarto 2</t>
  </si>
  <si>
    <t>Quarto 3</t>
  </si>
  <si>
    <t>Cozinha</t>
  </si>
  <si>
    <t>Corredor</t>
  </si>
  <si>
    <t>PRODUTOS USADO EM OBRA</t>
  </si>
  <si>
    <t>NOME</t>
  </si>
  <si>
    <t xml:space="preserve">QUANTIDADE </t>
  </si>
  <si>
    <t>CADASTRO DE FORNECEDORES</t>
  </si>
  <si>
    <t>Razão Social</t>
  </si>
  <si>
    <t>Endereço</t>
  </si>
  <si>
    <t>Telefone 1</t>
  </si>
  <si>
    <t>Telefone 2</t>
  </si>
  <si>
    <t>Loja 3</t>
  </si>
  <si>
    <t>Endereço Loja 1</t>
  </si>
  <si>
    <t>Endereço Loja 2</t>
  </si>
  <si>
    <t>Endereço Loja 3</t>
  </si>
  <si>
    <t>Schneider Ripa Eucalipto Aplainada, 2x1x100cm</t>
  </si>
  <si>
    <t>Indexco Tábua Pinus Seco, Marron, 2x5x300cm</t>
  </si>
  <si>
    <t>Calço para Telha Vogatex 7,5x2,1cm</t>
  </si>
  <si>
    <t>Calço para Telha Ondulada 17,7x5,1cm Branco</t>
  </si>
  <si>
    <t>Telha Romana de Cerâmica Realeza Resinada 23,6x...</t>
  </si>
  <si>
    <t>Massa para Madeira F12 900ml Cerejeira</t>
  </si>
  <si>
    <t>Bloco Cerâmico Bloquinho 11,5x14x24cm Marrom</t>
  </si>
  <si>
    <t>Bloco Cerâmico 11,5x14x11,5cm Marrom</t>
  </si>
  <si>
    <t>Bloco Cerâmico Baianinho, Marrom, 09x19x19cm</t>
  </si>
  <si>
    <t>Canaleta Cerâmica, Marrom, 11,5x14x24cm</t>
  </si>
  <si>
    <t>Orçamento de Construção</t>
  </si>
  <si>
    <t>Nome da obra:</t>
  </si>
  <si>
    <t>Valor Final:</t>
  </si>
  <si>
    <t>Valor financiado:</t>
  </si>
  <si>
    <t>Data de término:</t>
  </si>
  <si>
    <t>Materiais necessários</t>
  </si>
  <si>
    <t>Residencial Oliveira</t>
  </si>
  <si>
    <t>Meses de obras:</t>
  </si>
  <si>
    <t>Total:</t>
  </si>
  <si>
    <t>Medidas</t>
  </si>
  <si>
    <t>Loja 4</t>
  </si>
  <si>
    <t>Loja 5</t>
  </si>
  <si>
    <t>Loja 6</t>
  </si>
  <si>
    <t>Loja 7</t>
  </si>
  <si>
    <t>Mínimos</t>
  </si>
  <si>
    <t>Máximos</t>
  </si>
  <si>
    <t>Soma valores menor</t>
  </si>
  <si>
    <t>Soma valores maior</t>
  </si>
  <si>
    <t>Diferença/ mínimos</t>
  </si>
  <si>
    <t>MÃO DE OBRA</t>
  </si>
  <si>
    <t>Pedreiro 1</t>
  </si>
  <si>
    <t>Pedreiro 2</t>
  </si>
  <si>
    <t>Metro²</t>
  </si>
  <si>
    <t>Eletricista</t>
  </si>
  <si>
    <t>Valor</t>
  </si>
  <si>
    <t>Data ínicio:</t>
  </si>
  <si>
    <t>Metragem:</t>
  </si>
  <si>
    <t>Custo Mão de Obra</t>
  </si>
  <si>
    <t>E-mail Cliente:</t>
  </si>
  <si>
    <t>email_cliente@gmail.com</t>
  </si>
  <si>
    <t>Frete:</t>
  </si>
  <si>
    <t>Soma Produtos:</t>
  </si>
  <si>
    <t>Closet</t>
  </si>
  <si>
    <t>Tijolo usado:</t>
  </si>
  <si>
    <t>Largura:</t>
  </si>
  <si>
    <t>Altura:</t>
  </si>
  <si>
    <t>Comprimento:</t>
  </si>
  <si>
    <t>M²</t>
  </si>
  <si>
    <t>Qtd. Por m²:</t>
  </si>
  <si>
    <t>Pé Direito:</t>
  </si>
  <si>
    <t>Total m²:</t>
  </si>
  <si>
    <t>Valor Tijolo:</t>
  </si>
  <si>
    <t>Total Tijolos:</t>
  </si>
  <si>
    <t>Valor Total:</t>
  </si>
  <si>
    <t>10%+:</t>
  </si>
  <si>
    <t>TIJOLOS USADOS</t>
  </si>
  <si>
    <t>Sala</t>
  </si>
  <si>
    <t>Muro</t>
  </si>
  <si>
    <t>Porta BBB em Madeira Maciça Tauari - Mapaf</t>
  </si>
  <si>
    <t>Frete</t>
  </si>
  <si>
    <t>Loja da Construção (Magazine Luiza)</t>
  </si>
  <si>
    <t>Site</t>
  </si>
  <si>
    <t>Cômodo</t>
  </si>
  <si>
    <t>Acabamento para Registro para Base Padrão Fabrimar Pequeno Cromado Aquarius Fabrimar</t>
  </si>
  <si>
    <t>Leroy Merlin</t>
  </si>
  <si>
    <t>Fita Veda Rosca 18mmx25m Equation</t>
  </si>
  <si>
    <t>Assento Sanitário Convencional Espuma Salmão Astra</t>
  </si>
  <si>
    <t>Chuveiro Elétrico Optima 8T 7700W 220V</t>
  </si>
  <si>
    <t>Chuveiro Elétrico Duo Shower Quadra 6800W 220V</t>
  </si>
  <si>
    <t>Ducha Higiênica 1,2m Cromada Flex Plus Deca</t>
  </si>
  <si>
    <t>Ducha Higiênica 1,2m Branca e Cromada Gali Docol</t>
  </si>
  <si>
    <t>Bancada com Nicho 30x80x45cm Monastrell Ventur Sensea</t>
  </si>
  <si>
    <t>Bancada com Nicho 30x60x45cm Rosseli Monastrell Sensea</t>
  </si>
  <si>
    <t>Espelho de Banheiro Redondo 70x70cm Sphere Sensea</t>
  </si>
  <si>
    <t>Piso Vinílico Camden Pecan 15x93,5cm 4,2mm Click ArtensBranco</t>
  </si>
  <si>
    <t>Piso Vinílico Essence Hit Sucupira 18,4x95cm 2mm Cola Tarkett</t>
  </si>
  <si>
    <t>Porcelanato Interno Mármore Esmaltado Polido Borda Reta 60x60cm Crema Di Italia Portobello</t>
  </si>
  <si>
    <t>Porcelanato Interno 61x61cm City Lux P62072 Artens...</t>
  </si>
  <si>
    <t>Porcelanato Esmaltado Acetinado Borda Arredondada 60x60cm modelo Cetim Bianco Portobello</t>
  </si>
  <si>
    <t>Cozinha e Banheiros</t>
  </si>
  <si>
    <t>Salas e Quartos</t>
  </si>
  <si>
    <t>Pastilha Autoadesiva Mix Colonial 33x30,6cm Artens</t>
  </si>
  <si>
    <t>Frete Loja2</t>
  </si>
  <si>
    <t>Mercado Livre</t>
  </si>
  <si>
    <t>SALA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</si>
</sst>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R$&quot;* #,##0.00_);_(&quot;R$&quot;* \(#,##0.00\);_(&quot;R$&quot;* &quot;-&quot;??_);_(@_)"/>
    <numFmt numFmtId="165" formatCode="[&gt;11111111111]&quot;(&quot;00&quot;)&quot;00000&quot;-&quot;0000;\ &quot;(&quot;00&quot;)&quot;0000&quot;-&quot;0000"/>
    <numFmt numFmtId="166" formatCode="0.0000"/>
  </numFmts>
  <fonts count="25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2"/>
      <color rgb="FF9C57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9" tint="-0.24994659260841701"/>
      <name val="Aller Display"/>
      <family val="2"/>
    </font>
    <font>
      <sz val="10"/>
      <name val="Aller Display"/>
      <family val="2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9797"/>
        <bgColor indexed="64"/>
      </patternFill>
    </fill>
    <fill>
      <patternFill patternType="solid">
        <fgColor theme="9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9" tint="-0.24994659260841701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ck">
        <color indexed="64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indexed="64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</borders>
  <cellStyleXfs count="13">
    <xf numFmtId="0" fontId="0" fillId="0" borderId="0"/>
    <xf numFmtId="164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3" fillId="6" borderId="0" applyNumberFormat="0" applyBorder="0" applyAlignment="0" applyProtection="0"/>
    <xf numFmtId="164" fontId="13" fillId="7" borderId="0"/>
    <xf numFmtId="0" fontId="3" fillId="8" borderId="0" applyNumberFormat="0" applyBorder="0" applyAlignment="0" applyProtection="0"/>
    <xf numFmtId="0" fontId="19" fillId="0" borderId="1">
      <alignment horizontal="center"/>
    </xf>
    <xf numFmtId="0" fontId="20" fillId="0" borderId="1">
      <alignment horizontal="center"/>
    </xf>
    <xf numFmtId="0" fontId="3" fillId="0" borderId="2"/>
    <xf numFmtId="0" fontId="24" fillId="0" borderId="0" applyNumberFormat="0" applyFill="0" applyBorder="0" applyAlignment="0" applyProtection="0"/>
  </cellStyleXfs>
  <cellXfs count="58">
    <xf numFmtId="0" fontId="0" fillId="0" borderId="0" xfId="0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/>
    <xf numFmtId="164" fontId="0" fillId="0" borderId="0" xfId="1" applyFont="1"/>
    <xf numFmtId="0" fontId="0" fillId="0" borderId="0" xfId="0" applyAlignment="1">
      <alignment horizontal="center" vertical="center"/>
    </xf>
    <xf numFmtId="0" fontId="10" fillId="2" borderId="0" xfId="2" applyFont="1" applyAlignment="1">
      <alignment horizontal="right"/>
    </xf>
    <xf numFmtId="0" fontId="0" fillId="0" borderId="0" xfId="0" applyAlignment="1">
      <alignment horizontal="center"/>
    </xf>
    <xf numFmtId="0" fontId="10" fillId="2" borderId="0" xfId="2" applyFont="1" applyAlignment="1">
      <alignment horizontal="center"/>
    </xf>
    <xf numFmtId="0" fontId="3" fillId="6" borderId="0" xfId="6"/>
    <xf numFmtId="14" fontId="1" fillId="6" borderId="0" xfId="6" applyNumberFormat="1" applyFont="1"/>
    <xf numFmtId="164" fontId="1" fillId="6" borderId="0" xfId="6" applyNumberFormat="1" applyFont="1" applyAlignment="1"/>
    <xf numFmtId="14" fontId="1" fillId="6" borderId="0" xfId="6" applyNumberFormat="1" applyFont="1" applyAlignment="1"/>
    <xf numFmtId="0" fontId="1" fillId="6" borderId="0" xfId="6" applyFont="1" applyAlignment="1">
      <alignment horizontal="center"/>
    </xf>
    <xf numFmtId="0" fontId="0" fillId="0" borderId="0" xfId="0" applyNumberFormat="1"/>
    <xf numFmtId="0" fontId="10" fillId="2" borderId="0" xfId="2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1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164" fontId="0" fillId="0" borderId="0" xfId="1" applyFont="1" applyAlignment="1">
      <alignment horizontal="center" vertical="center"/>
    </xf>
    <xf numFmtId="0" fontId="10" fillId="2" borderId="0" xfId="2" applyFont="1" applyAlignment="1">
      <alignment horizontal="center" vertical="center"/>
    </xf>
    <xf numFmtId="164" fontId="15" fillId="3" borderId="0" xfId="3" applyNumberFormat="1" applyFont="1" applyAlignment="1">
      <alignment horizontal="center" vertical="center"/>
    </xf>
    <xf numFmtId="164" fontId="11" fillId="4" borderId="0" xfId="4" applyNumberFormat="1" applyFont="1" applyAlignment="1">
      <alignment horizontal="center" vertical="center"/>
    </xf>
    <xf numFmtId="164" fontId="16" fillId="5" borderId="0" xfId="5" applyNumberFormat="1" applyFont="1" applyAlignment="1">
      <alignment horizontal="center" vertical="center"/>
    </xf>
    <xf numFmtId="0" fontId="10" fillId="2" borderId="0" xfId="2" applyFont="1" applyAlignment="1">
      <alignment horizontal="right"/>
    </xf>
    <xf numFmtId="164" fontId="0" fillId="0" borderId="0" xfId="1" applyFont="1" applyAlignment="1">
      <alignment horizontal="center" vertical="center" wrapText="1"/>
    </xf>
    <xf numFmtId="164" fontId="14" fillId="3" borderId="0" xfId="1" applyFont="1" applyFill="1" applyAlignment="1">
      <alignment horizontal="center" vertical="center"/>
    </xf>
    <xf numFmtId="164" fontId="12" fillId="4" borderId="0" xfId="1" applyFont="1" applyFill="1" applyAlignment="1">
      <alignment horizontal="center" vertical="center"/>
    </xf>
    <xf numFmtId="164" fontId="1" fillId="6" borderId="0" xfId="1" applyFont="1" applyFill="1" applyAlignment="1">
      <alignment horizontal="center" vertical="center"/>
    </xf>
    <xf numFmtId="0" fontId="10" fillId="2" borderId="0" xfId="2" applyFont="1" applyAlignment="1">
      <alignment horizontal="right"/>
    </xf>
    <xf numFmtId="0" fontId="18" fillId="6" borderId="0" xfId="6" applyFont="1" applyAlignment="1">
      <alignment horizontal="right"/>
    </xf>
    <xf numFmtId="0" fontId="3" fillId="0" borderId="2" xfId="11"/>
    <xf numFmtId="0" fontId="18" fillId="8" borderId="0" xfId="8" applyFont="1"/>
    <xf numFmtId="0" fontId="3" fillId="0" borderId="2" xfId="11" applyAlignment="1">
      <alignment horizontal="center"/>
    </xf>
    <xf numFmtId="0" fontId="10" fillId="2" borderId="3" xfId="2" applyFont="1" applyBorder="1" applyAlignment="1">
      <alignment horizontal="right"/>
    </xf>
    <xf numFmtId="0" fontId="10" fillId="2" borderId="0" xfId="2" applyFont="1" applyBorder="1" applyAlignment="1">
      <alignment horizontal="right"/>
    </xf>
    <xf numFmtId="2" fontId="1" fillId="6" borderId="7" xfId="6" applyNumberFormat="1" applyFont="1" applyBorder="1" applyAlignment="1">
      <alignment horizontal="left"/>
    </xf>
    <xf numFmtId="166" fontId="1" fillId="6" borderId="7" xfId="6" applyNumberFormat="1" applyFont="1" applyBorder="1" applyAlignment="1">
      <alignment horizontal="left"/>
    </xf>
    <xf numFmtId="2" fontId="1" fillId="6" borderId="8" xfId="6" applyNumberFormat="1" applyFont="1" applyBorder="1" applyAlignment="1">
      <alignment horizontal="left"/>
    </xf>
    <xf numFmtId="0" fontId="10" fillId="2" borderId="4" xfId="2" applyFont="1" applyBorder="1" applyAlignment="1">
      <alignment horizontal="right"/>
    </xf>
    <xf numFmtId="2" fontId="1" fillId="6" borderId="6" xfId="6" applyNumberFormat="1" applyFont="1" applyBorder="1" applyAlignment="1">
      <alignment horizontal="left"/>
    </xf>
    <xf numFmtId="164" fontId="1" fillId="6" borderId="7" xfId="1" applyFont="1" applyFill="1" applyBorder="1" applyAlignment="1">
      <alignment horizontal="left"/>
    </xf>
    <xf numFmtId="164" fontId="23" fillId="5" borderId="8" xfId="5" applyNumberFormat="1" applyFont="1" applyBorder="1" applyAlignment="1">
      <alignment horizontal="left"/>
    </xf>
    <xf numFmtId="0" fontId="0" fillId="0" borderId="9" xfId="0" applyBorder="1"/>
    <xf numFmtId="0" fontId="5" fillId="2" borderId="0" xfId="2" applyFont="1" applyAlignment="1">
      <alignment vertical="center"/>
    </xf>
    <xf numFmtId="0" fontId="24" fillId="0" borderId="0" xfId="12"/>
    <xf numFmtId="0" fontId="10" fillId="2" borderId="0" xfId="2" applyFont="1" applyAlignment="1">
      <alignment horizontal="right"/>
    </xf>
    <xf numFmtId="0" fontId="9" fillId="2" borderId="0" xfId="2" applyFont="1" applyAlignment="1">
      <alignment horizontal="center" wrapText="1"/>
    </xf>
    <xf numFmtId="0" fontId="5" fillId="2" borderId="0" xfId="2" applyFont="1" applyAlignment="1">
      <alignment horizontal="center" vertical="center"/>
    </xf>
    <xf numFmtId="0" fontId="10" fillId="2" borderId="0" xfId="2" applyFont="1" applyAlignment="1">
      <alignment horizontal="right"/>
    </xf>
    <xf numFmtId="164" fontId="1" fillId="6" borderId="0" xfId="6" applyNumberFormat="1" applyFont="1" applyAlignment="1">
      <alignment horizontal="center"/>
    </xf>
    <xf numFmtId="14" fontId="1" fillId="6" borderId="0" xfId="6" applyNumberFormat="1" applyFont="1" applyAlignment="1">
      <alignment horizontal="left"/>
    </xf>
    <xf numFmtId="0" fontId="1" fillId="6" borderId="0" xfId="6" applyFont="1" applyAlignment="1">
      <alignment horizontal="left"/>
    </xf>
    <xf numFmtId="0" fontId="21" fillId="2" borderId="0" xfId="2" applyFont="1" applyAlignment="1">
      <alignment horizontal="center" vertical="center"/>
    </xf>
    <xf numFmtId="0" fontId="10" fillId="2" borderId="5" xfId="2" applyFont="1" applyBorder="1" applyAlignment="1">
      <alignment horizontal="center"/>
    </xf>
    <xf numFmtId="0" fontId="10" fillId="2" borderId="6" xfId="2" applyFont="1" applyBorder="1" applyAlignment="1">
      <alignment horizontal="center"/>
    </xf>
    <xf numFmtId="0" fontId="22" fillId="2" borderId="4" xfId="2" applyFont="1" applyBorder="1" applyAlignment="1">
      <alignment horizontal="center" vertical="center"/>
    </xf>
  </cellXfs>
  <cellStyles count="13">
    <cellStyle name="20% - Ênfase6" xfId="8" builtinId="50"/>
    <cellStyle name="60% - Ênfase6" xfId="6" builtinId="52"/>
    <cellStyle name="Bom" xfId="3" builtinId="26"/>
    <cellStyle name="células" xfId="11" xr:uid="{A8248CB0-DC03-4F2B-87FA-857F803DECF9}"/>
    <cellStyle name="Ênfase6" xfId="2" builtinId="49"/>
    <cellStyle name="Estilo 1" xfId="7" xr:uid="{9E24172B-A042-4FFD-B979-B00E870DBEF3}"/>
    <cellStyle name="Hiperlink" xfId="12" builtinId="8"/>
    <cellStyle name="Moeda" xfId="1" builtinId="4"/>
    <cellStyle name="Neutro" xfId="5" builtinId="28"/>
    <cellStyle name="Normal" xfId="0" builtinId="0"/>
    <cellStyle name="Ruim" xfId="4" builtinId="27"/>
    <cellStyle name="TítuloComodos" xfId="9" xr:uid="{1C55DF49-0034-438F-B0D4-C416B011A670}"/>
    <cellStyle name="TotalComodos" xfId="10" xr:uid="{B9AA0785-7F9F-49BC-A0A1-B30BE1547BAF}"/>
  </cellStyles>
  <dxfs count="41">
    <dxf>
      <numFmt numFmtId="165" formatCode="[&gt;11111111111]&quot;(&quot;00&quot;)&quot;00000&quot;-&quot;0000;\ &quot;(&quot;00&quot;)&quot;0000&quot;-&quot;0000"/>
    </dxf>
    <dxf>
      <numFmt numFmtId="0" formatCode="General"/>
    </dxf>
    <dxf>
      <numFmt numFmtId="165" formatCode="[&gt;11111111111]&quot;(&quot;00&quot;)&quot;00000&quot;-&quot;0000;\ &quot;(&quot;00&quot;)&quot;0000&quot;-&quot;00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5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00CC99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68D266-2959-4863-B4FE-0115AA403DD8}" name="Orcamento" displayName="Orcamento" ref="A12:J38" totalsRowShown="0" headerRowCellStyle="Moeda" dataCellStyle="Moeda">
  <tableColumns count="10">
    <tableColumn id="1" xr3:uid="{024BDEA4-6615-4ADD-9C30-E1C5F7A9A84B}" name="Materiais necessários" dataDxfId="28" dataCellStyle="Moeda"/>
    <tableColumn id="2" xr3:uid="{6E86019F-3E6D-43B5-9C7D-85C76E1BD25F}" name="Leroy Merlin" dataDxfId="27" dataCellStyle="Moeda">
      <calculatedColumnFormula>IFERROR(VLOOKUP(A13,TabelaProdutos[#All],3,FALSE),"Selecione um produto")</calculatedColumnFormula>
    </tableColumn>
    <tableColumn id="3" xr3:uid="{0DE7E925-DBDB-4ACA-83D1-9FB612B59D07}" name="Loja da Construção (Magazine Luiza)" dataDxfId="26" dataCellStyle="Moeda">
      <calculatedColumnFormula>IFERROR(VLOOKUP(A13,TabelaProdutos[#All],4,FALSE),"Selecione um produto")</calculatedColumnFormula>
    </tableColumn>
    <tableColumn id="4" xr3:uid="{957562E0-AA14-49C9-95C9-BFA712874943}" name="Loja 3" dataDxfId="25" dataCellStyle="Moeda">
      <calculatedColumnFormula>IFERROR(VLOOKUP(A13,TabelaProdutos[#All],5,FALSE),"Selecione um produto")</calculatedColumnFormula>
    </tableColumn>
    <tableColumn id="5" xr3:uid="{68E8279C-F018-4B9C-B371-FFB0BDF0AE7D}" name="Loja 4" dataDxfId="24" dataCellStyle="Moeda">
      <calculatedColumnFormula>IFERROR(VLOOKUP($A13,TabelaProdutos[#All],6,FALSE),"Selecione um produto")</calculatedColumnFormula>
    </tableColumn>
    <tableColumn id="6" xr3:uid="{FDEEBBAD-3501-4414-BB9F-3E4DABDEBC6A}" name="Loja 5" dataDxfId="23" dataCellStyle="Moeda">
      <calculatedColumnFormula>IFERROR(VLOOKUP($A13,TabelaProdutos[#All],7,FALSE),"Selecione um produto")</calculatedColumnFormula>
    </tableColumn>
    <tableColumn id="7" xr3:uid="{29AC46DE-662B-4DD8-84C9-FE3C91BD6EF1}" name="Loja 6" dataDxfId="22" dataCellStyle="Moeda">
      <calculatedColumnFormula>IFERROR(VLOOKUP($A13,TabelaProdutos[#All],8,FALSE),"Selecione um produto")</calculatedColumnFormula>
    </tableColumn>
    <tableColumn id="8" xr3:uid="{4C811C22-DA1F-4C3D-987C-863AFD0F4975}" name="Loja 7" dataDxfId="21" dataCellStyle="Moeda">
      <calculatedColumnFormula>IFERROR(VLOOKUP($A13,TabelaProdutos[#All],9,FALSE),"Selecione um produto")</calculatedColumnFormula>
    </tableColumn>
    <tableColumn id="9" xr3:uid="{1FA2ADD9-AA0A-49FA-9191-B8934961B6AD}" name="Mínimos" dataDxfId="20" dataCellStyle="Moeda">
      <calculatedColumnFormula>MIN(Orcamento[[#This Row],[Leroy Merlin]:[Loja 7]])</calculatedColumnFormula>
    </tableColumn>
    <tableColumn id="10" xr3:uid="{55393C1E-D375-4E2A-8CB8-CB617561626B}" name="Máximos" dataDxfId="19" dataCellStyle="Moeda">
      <calculatedColumnFormula>MAX(Orcamento[[#This Row],[Leroy Merlin]:[Mínimos]])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A56DE4-3F74-4467-8330-10B1ED03E2E3}" name="TabelaProdutos" displayName="TabelaProdutos" ref="A2:K22" totalsRowShown="0" dataDxfId="18" dataCellStyle="Moeda">
  <tableColumns count="11">
    <tableColumn id="1" xr3:uid="{AAACB9CF-0FDD-46B8-8B43-BF6065A11CEA}" name="NOME" dataDxfId="17"/>
    <tableColumn id="2" xr3:uid="{7747A273-2A7D-49B3-A9AA-63BEADFB2C0A}" name="Frete" dataCellStyle="Moeda"/>
    <tableColumn id="3" xr3:uid="{99AB7D66-8AF1-4122-9259-EC650853DAE7}" name="Leroy Merlin" dataDxfId="16" dataCellStyle="Moeda"/>
    <tableColumn id="4" xr3:uid="{4538363B-3D8A-44D8-9813-28ACC9DEC9E9}" name="Mercado Livre" dataDxfId="15" dataCellStyle="Moeda"/>
    <tableColumn id="5" xr3:uid="{E0C8B2B1-38F2-40A3-98D5-D09B99113B1F}" name="Loja 3" dataDxfId="14" dataCellStyle="Moeda"/>
    <tableColumn id="6" xr3:uid="{146D1904-D4C4-4335-BABB-AA4666AD8317}" name="Loja 4" dataDxfId="13" dataCellStyle="Moeda"/>
    <tableColumn id="7" xr3:uid="{8895DAE3-052F-4863-BC22-D6C79221F260}" name="Loja 5" dataDxfId="12" dataCellStyle="Moeda"/>
    <tableColumn id="8" xr3:uid="{3AF2FFDB-2A58-4283-B1F6-4BE3B6BA12B6}" name="Loja 6" dataDxfId="11" dataCellStyle="Moeda"/>
    <tableColumn id="9" xr3:uid="{781B464D-D5F2-4BBD-936D-454036F3A51B}" name="Loja 7" dataDxfId="10" dataCellStyle="Moeda"/>
    <tableColumn id="10" xr3:uid="{2D0C8F39-4DB9-4716-B088-F5C6E31457AF}" name="Cômodo" dataDxfId="9" dataCellStyle="Moeda"/>
    <tableColumn id="11" xr3:uid="{17813FBB-44F2-4C14-8DD6-6D95D67CC18B}" name="Frete Loja2" dataDxfId="8" dataCellStyle="Moeda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BECA13-2CC6-4B54-BD08-99A82DE0545C}" name="Tabela19" displayName="Tabela19" ref="D2:D5" totalsRowShown="0">
  <tableColumns count="1">
    <tableColumn id="1" xr3:uid="{FA7D9266-1A42-4EE4-AD4C-2896DB233E56}" name="Medidas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02C3784-B78C-4FB6-BC20-27F1C40B5C58}" name="Tabela9" displayName="Tabela9" ref="A2:C5" totalsRowShown="0" headerRowDxfId="7" dataDxfId="6" dataCellStyle="Moeda">
  <tableColumns count="3">
    <tableColumn id="1" xr3:uid="{2220A460-08D9-4550-94AE-057AC365FC29}" name="NOME" dataDxfId="5"/>
    <tableColumn id="2" xr3:uid="{DABF64E5-294D-460D-905B-4F033368E054}" name="QUANTIDADE "/>
    <tableColumn id="3" xr3:uid="{D7B24703-027F-4918-90A4-5837451C18EE}" name="Valor" dataDxfId="4" dataCellStyle="Moeda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D358D3-83C0-498E-9861-DA18F510DC35}" name="Tabela2" displayName="Tabela2" ref="A2:E9" totalsRowShown="0">
  <tableColumns count="5">
    <tableColumn id="1" xr3:uid="{7296A867-8FBA-4F4A-A1C0-37355F737F03}" name="Razão Social"/>
    <tableColumn id="2" xr3:uid="{7501CD55-3F8B-421D-A1F2-EC0B065C5DB8}" name="Endereço"/>
    <tableColumn id="3" xr3:uid="{2FA4B94E-E169-43BF-B805-96EF69D4F478}" name="Telefone 1" dataDxfId="3"/>
    <tableColumn id="4" xr3:uid="{B2FB5112-BACD-489F-BA01-692D3DB4AC7F}" name="Telefone 2" dataDxfId="2"/>
    <tableColumn id="5" xr3:uid="{23D7E1F1-EF86-4009-B53C-10A0DAA33C3E}" name="Site"/>
  </tableColumns>
  <tableStyleInfo name="TableStyleLight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673B050-9442-4E35-8291-FC5C624C7B4B}" name="Tabela28" displayName="Tabela28" ref="A12:D15" totalsRowShown="0">
  <tableColumns count="4">
    <tableColumn id="1" xr3:uid="{5107DB6C-3222-48AF-AD56-4C5E9C255000}" name="Razão Social"/>
    <tableColumn id="2" xr3:uid="{81B365EA-5BD2-41CB-824C-BF8B47AB1CDD}" name="Endereço"/>
    <tableColumn id="3" xr3:uid="{48B4DAE8-2B5F-497A-938A-9F62D70CE843}" name="Telefone 1" dataDxfId="1"/>
    <tableColumn id="4" xr3:uid="{A0683218-224C-4074-B1A4-C0BC81F276EF}" name="Telefone 2" dataDxfId="0"/>
  </tableColumns>
  <tableStyleInfo name="TableStyleLight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mail_cliente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84B47-E8F7-4835-AE0A-F5167991EA17}">
  <sheetPr codeName="Planilha1"/>
  <dimension ref="A1:L38"/>
  <sheetViews>
    <sheetView workbookViewId="0">
      <selection activeCell="C10" sqref="C10"/>
    </sheetView>
  </sheetViews>
  <sheetFormatPr defaultRowHeight="15"/>
  <cols>
    <col min="1" max="1" width="34.140625" customWidth="1"/>
    <col min="2" max="3" width="22.42578125" bestFit="1" customWidth="1"/>
    <col min="4" max="5" width="13.5703125" bestFit="1" customWidth="1"/>
    <col min="6" max="8" width="13.42578125" bestFit="1" customWidth="1"/>
    <col min="9" max="9" width="12.7109375" customWidth="1"/>
    <col min="10" max="10" width="13.7109375" customWidth="1"/>
    <col min="11" max="11" width="13.42578125" customWidth="1"/>
    <col min="12" max="12" width="12.28515625" bestFit="1" customWidth="1"/>
    <col min="13" max="13" width="13.5703125" bestFit="1" customWidth="1"/>
    <col min="14" max="14" width="10.140625" bestFit="1" customWidth="1"/>
  </cols>
  <sheetData>
    <row r="1" spans="1:12" ht="18.75">
      <c r="A1" s="49" t="s">
        <v>39</v>
      </c>
      <c r="B1" s="49"/>
      <c r="C1" s="49"/>
      <c r="D1" s="49"/>
      <c r="E1" s="49"/>
      <c r="F1" s="49"/>
      <c r="G1" s="49"/>
      <c r="H1" s="49"/>
      <c r="I1" s="49"/>
      <c r="J1" s="49"/>
      <c r="K1" s="49"/>
    </row>
    <row r="2" spans="1:12" ht="15.75">
      <c r="A2" s="6" t="s">
        <v>40</v>
      </c>
      <c r="B2" s="52" t="s">
        <v>45</v>
      </c>
      <c r="C2" s="52"/>
      <c r="D2" s="52"/>
      <c r="E2" s="50" t="s">
        <v>67</v>
      </c>
      <c r="F2" s="50"/>
      <c r="G2" s="53" t="s">
        <v>68</v>
      </c>
      <c r="H2" s="53"/>
      <c r="I2" s="53"/>
      <c r="J2" s="53"/>
      <c r="K2" s="53"/>
    </row>
    <row r="3" spans="1:12" ht="15.75">
      <c r="A3" s="6" t="s">
        <v>42</v>
      </c>
      <c r="B3" s="11">
        <v>135000</v>
      </c>
      <c r="C3" s="50" t="s">
        <v>41</v>
      </c>
      <c r="D3" s="50"/>
      <c r="E3" s="51"/>
      <c r="F3" s="51"/>
      <c r="G3" s="9"/>
      <c r="H3" s="9"/>
      <c r="I3" s="15" t="s">
        <v>65</v>
      </c>
      <c r="J3" s="13">
        <v>80</v>
      </c>
    </row>
    <row r="4" spans="1:12" ht="15.75">
      <c r="A4" s="6" t="s">
        <v>64</v>
      </c>
      <c r="B4" s="12">
        <v>43811</v>
      </c>
      <c r="C4" s="50" t="s">
        <v>46</v>
      </c>
      <c r="D4" s="50"/>
      <c r="E4" s="13">
        <v>6</v>
      </c>
      <c r="F4" s="50" t="s">
        <v>43</v>
      </c>
      <c r="G4" s="50"/>
      <c r="H4" s="10">
        <f>EDATE(B4,E4)</f>
        <v>43994</v>
      </c>
    </row>
    <row r="5" spans="1:12" ht="15" customHeight="1">
      <c r="A5" s="3"/>
      <c r="I5" s="48" t="s">
        <v>55</v>
      </c>
      <c r="J5" s="48" t="s">
        <v>56</v>
      </c>
      <c r="K5" s="48" t="s">
        <v>57</v>
      </c>
      <c r="L5" s="48" t="s">
        <v>66</v>
      </c>
    </row>
    <row r="6" spans="1:12" ht="15.75">
      <c r="A6" s="3"/>
      <c r="B6" s="8" t="s">
        <v>93</v>
      </c>
      <c r="C6" s="8" t="s">
        <v>112</v>
      </c>
      <c r="D6" s="8" t="s">
        <v>25</v>
      </c>
      <c r="E6" s="8" t="s">
        <v>49</v>
      </c>
      <c r="F6" s="8" t="s">
        <v>50</v>
      </c>
      <c r="G6" s="8" t="s">
        <v>51</v>
      </c>
      <c r="H6" s="8" t="s">
        <v>52</v>
      </c>
      <c r="I6" s="48"/>
      <c r="J6" s="48"/>
      <c r="K6" s="48"/>
      <c r="L6" s="48"/>
    </row>
    <row r="7" spans="1:12" ht="15.75">
      <c r="A7" s="21" t="s">
        <v>70</v>
      </c>
      <c r="B7" s="29">
        <f>SUM(Orcamento[Leroy Merlin])</f>
        <v>2193.06</v>
      </c>
      <c r="C7" s="29">
        <f>SUM(Orcamento[Loja da Construção (Magazine Luiza)])</f>
        <v>402.64</v>
      </c>
      <c r="D7" s="29">
        <f>SUM(Orcamento[Loja 3])</f>
        <v>122.38000000000001</v>
      </c>
      <c r="E7" s="29">
        <f>SUM(Orcamento[Loja 4])</f>
        <v>123.69999999999999</v>
      </c>
      <c r="F7" s="29">
        <f>SUM(Orcamento[Loja 5])</f>
        <v>161.40000000000003</v>
      </c>
      <c r="G7" s="29">
        <f>SUM(Orcamento[Loja 6])</f>
        <v>132.55000000000001</v>
      </c>
      <c r="H7" s="29">
        <f>SUM(Orcamento[Loja 7])</f>
        <v>218.05</v>
      </c>
      <c r="I7" s="22">
        <f>SUM(Orcamento[Mínimos])</f>
        <v>112.89999999999999</v>
      </c>
      <c r="J7" s="23">
        <f>SUM(Orcamento[Máximos])</f>
        <v>2219.9900000000002</v>
      </c>
      <c r="K7" s="24">
        <f>MIN(B7:H7)-I7</f>
        <v>9.4800000000000182</v>
      </c>
      <c r="L7" s="4"/>
    </row>
    <row r="8" spans="1:12" ht="15.75">
      <c r="A8" s="21" t="s">
        <v>69</v>
      </c>
      <c r="B8" s="29"/>
      <c r="C8" s="29"/>
      <c r="D8" s="29"/>
      <c r="E8" s="29"/>
      <c r="F8" s="29"/>
      <c r="G8" s="29"/>
      <c r="H8" s="29"/>
      <c r="I8" s="22"/>
      <c r="J8" s="23"/>
      <c r="K8" s="24"/>
      <c r="L8" s="4"/>
    </row>
    <row r="9" spans="1:12" ht="15.75">
      <c r="A9" s="21" t="s">
        <v>47</v>
      </c>
      <c r="B9" s="29"/>
      <c r="C9" s="29"/>
      <c r="D9" s="29"/>
      <c r="E9" s="29"/>
      <c r="F9" s="29"/>
      <c r="G9" s="29"/>
      <c r="H9" s="29"/>
      <c r="I9" s="22"/>
      <c r="J9" s="23"/>
      <c r="K9" s="24"/>
      <c r="L9" s="4"/>
    </row>
    <row r="10" spans="1:12">
      <c r="L10" s="4"/>
    </row>
    <row r="12" spans="1:12">
      <c r="A12" s="4" t="s">
        <v>44</v>
      </c>
      <c r="B12" s="4" t="s">
        <v>93</v>
      </c>
      <c r="C12" s="4" t="s">
        <v>89</v>
      </c>
      <c r="D12" s="4" t="s">
        <v>25</v>
      </c>
      <c r="E12" s="4" t="s">
        <v>49</v>
      </c>
      <c r="F12" s="4" t="s">
        <v>50</v>
      </c>
      <c r="G12" s="4" t="s">
        <v>51</v>
      </c>
      <c r="H12" s="4" t="s">
        <v>52</v>
      </c>
      <c r="I12" s="4" t="s">
        <v>53</v>
      </c>
      <c r="J12" s="4" t="s">
        <v>54</v>
      </c>
    </row>
    <row r="13" spans="1:12" ht="30">
      <c r="A13" s="26" t="s">
        <v>87</v>
      </c>
      <c r="B13" s="20">
        <f>IFERROR(VLOOKUP(A13,TabelaProdutos[#All],3,FALSE),"Selecione um produto")</f>
        <v>1209.9000000000001</v>
      </c>
      <c r="C13" s="20">
        <f>IFERROR(VLOOKUP(A13,TabelaProdutos[#All],4,FALSE),"Selecione um produto")</f>
        <v>1.5</v>
      </c>
      <c r="D13" s="20">
        <f>IFERROR(VLOOKUP(A13,TabelaProdutos[#All],5,FALSE),"Selecione um produto")</f>
        <v>2.0299999999999998</v>
      </c>
      <c r="E13" s="20">
        <f>IFERROR(VLOOKUP($A13,TabelaProdutos[#All],6,FALSE),"Selecione um produto")</f>
        <v>1</v>
      </c>
      <c r="F13" s="20">
        <f>IFERROR(VLOOKUP($A13,TabelaProdutos[#All],7,FALSE),"Selecione um produto")</f>
        <v>23</v>
      </c>
      <c r="G13" s="20">
        <f>IFERROR(VLOOKUP($A13,TabelaProdutos[#All],8,FALSE),"Selecione um produto")</f>
        <v>2</v>
      </c>
      <c r="H13" s="20">
        <f>IFERROR(VLOOKUP($A13,TabelaProdutos[#All],9,FALSE),"Selecione um produto")</f>
        <v>2.2999999999999998</v>
      </c>
      <c r="I13" s="27">
        <f>MIN(Orcamento[[#This Row],[Leroy Merlin]:[Loja 7]])</f>
        <v>1</v>
      </c>
      <c r="J13" s="28">
        <f>MAX(Orcamento[[#This Row],[Leroy Merlin]:[Mínimos]])</f>
        <v>1209.9000000000001</v>
      </c>
    </row>
    <row r="14" spans="1:12" ht="30">
      <c r="A14" s="26" t="s">
        <v>94</v>
      </c>
      <c r="B14" s="20">
        <f>IFERROR(VLOOKUP(A14,TabelaProdutos[#All],3,FALSE),"Selecione um produto")</f>
        <v>5.49</v>
      </c>
      <c r="C14" s="20">
        <f>IFERROR(VLOOKUP(A14,TabelaProdutos[#All],4,FALSE),"Selecione um produto")</f>
        <v>5.49</v>
      </c>
      <c r="D14" s="20">
        <f>IFERROR(VLOOKUP(A14,TabelaProdutos[#All],5,FALSE),"Selecione um produto")</f>
        <v>3.1</v>
      </c>
      <c r="E14" s="20">
        <f>IFERROR(VLOOKUP($A14,TabelaProdutos[#All],6,FALSE),"Selecione um produto")</f>
        <v>3.3</v>
      </c>
      <c r="F14" s="20">
        <f>IFERROR(VLOOKUP($A14,TabelaProdutos[#All],7,FALSE),"Selecione um produto")</f>
        <v>3.2</v>
      </c>
      <c r="G14" s="20">
        <f>IFERROR(VLOOKUP($A14,TabelaProdutos[#All],8,FALSE),"Selecione um produto")</f>
        <v>3.25</v>
      </c>
      <c r="H14" s="20">
        <f>IFERROR(VLOOKUP($A14,TabelaProdutos[#All],9,FALSE),"Selecione um produto")</f>
        <v>3</v>
      </c>
      <c r="I14" s="27">
        <f>MIN(Orcamento[[#This Row],[Leroy Merlin]:[Loja 7]])</f>
        <v>3</v>
      </c>
      <c r="J14" s="28">
        <f>MAX(Orcamento[[#This Row],[Leroy Merlin]:[Mínimos]])</f>
        <v>5.49</v>
      </c>
    </row>
    <row r="15" spans="1:12" ht="30">
      <c r="A15" s="26" t="s">
        <v>96</v>
      </c>
      <c r="B15" s="20">
        <f>IFERROR(VLOOKUP(A15,TabelaProdutos[#All],3,FALSE),"Selecione um produto")</f>
        <v>93.9</v>
      </c>
      <c r="C15" s="20">
        <f>IFERROR(VLOOKUP(A15,TabelaProdutos[#All],4,FALSE),"Selecione um produto")</f>
        <v>0.95</v>
      </c>
      <c r="D15" s="20">
        <f>IFERROR(VLOOKUP(A15,TabelaProdutos[#All],5,FALSE),"Selecione um produto")</f>
        <v>0.85</v>
      </c>
      <c r="E15" s="20">
        <f>IFERROR(VLOOKUP($A15,TabelaProdutos[#All],6,FALSE),"Selecione um produto")</f>
        <v>0.8</v>
      </c>
      <c r="F15" s="20">
        <f>IFERROR(VLOOKUP($A15,TabelaProdutos[#All],7,FALSE),"Selecione um produto")</f>
        <v>6</v>
      </c>
      <c r="G15" s="20">
        <f>IFERROR(VLOOKUP($A15,TabelaProdutos[#All],8,FALSE),"Selecione um produto")</f>
        <v>0.6</v>
      </c>
      <c r="H15" s="20">
        <f>IFERROR(VLOOKUP($A15,TabelaProdutos[#All],9,FALSE),"Selecione um produto")</f>
        <v>8</v>
      </c>
      <c r="I15" s="27">
        <f>MIN(Orcamento[[#This Row],[Leroy Merlin]:[Loja 7]])</f>
        <v>0.6</v>
      </c>
      <c r="J15" s="28">
        <f>MAX(Orcamento[[#This Row],[Leroy Merlin]:[Mínimos]])</f>
        <v>93.9</v>
      </c>
    </row>
    <row r="16" spans="1:12" ht="30">
      <c r="A16" s="26" t="s">
        <v>98</v>
      </c>
      <c r="B16" s="20">
        <f>IFERROR(VLOOKUP(A16,TabelaProdutos[#All],3,FALSE),"Selecione um produto")</f>
        <v>339.9</v>
      </c>
      <c r="C16" s="20">
        <f>IFERROR(VLOOKUP(A16,TabelaProdutos[#All],4,FALSE),"Selecione um produto")</f>
        <v>276</v>
      </c>
      <c r="D16" s="20">
        <f>IFERROR(VLOOKUP(A16,TabelaProdutos[#All],5,FALSE),"Selecione um produto")</f>
        <v>1.25</v>
      </c>
      <c r="E16" s="20">
        <f>IFERROR(VLOOKUP($A16,TabelaProdutos[#All],6,FALSE),"Selecione um produto")</f>
        <v>1</v>
      </c>
      <c r="F16" s="20">
        <f>IFERROR(VLOOKUP($A16,TabelaProdutos[#All],7,FALSE),"Selecione um produto")</f>
        <v>1.1000000000000001</v>
      </c>
      <c r="G16" s="20">
        <f>IFERROR(VLOOKUP($A16,TabelaProdutos[#All],8,FALSE),"Selecione um produto")</f>
        <v>1.25</v>
      </c>
      <c r="H16" s="20">
        <f>IFERROR(VLOOKUP($A16,TabelaProdutos[#All],9,FALSE),"Selecione um produto")</f>
        <v>1.3</v>
      </c>
      <c r="I16" s="27">
        <f>MIN(Orcamento[[#This Row],[Leroy Merlin]:[Loja 7]])</f>
        <v>1</v>
      </c>
      <c r="J16" s="28">
        <f>MAX(Orcamento[[#This Row],[Leroy Merlin]:[Mínimos]])</f>
        <v>339.9</v>
      </c>
    </row>
    <row r="17" spans="1:10" ht="30">
      <c r="A17" s="26" t="s">
        <v>100</v>
      </c>
      <c r="B17" s="20">
        <f>IFERROR(VLOOKUP(A17,TabelaProdutos[#All],3,FALSE),"Selecione um produto")</f>
        <v>226.9</v>
      </c>
      <c r="C17" s="20">
        <f>IFERROR(VLOOKUP(A17,TabelaProdutos[#All],4,FALSE),"Selecione um produto")</f>
        <v>83.2</v>
      </c>
      <c r="D17" s="20">
        <f>IFERROR(VLOOKUP(A17,TabelaProdutos[#All],5,FALSE),"Selecione um produto")</f>
        <v>83.9</v>
      </c>
      <c r="E17" s="20">
        <f>IFERROR(VLOOKUP($A17,TabelaProdutos[#All],6,FALSE),"Selecione um produto")</f>
        <v>80</v>
      </c>
      <c r="F17" s="20">
        <f>IFERROR(VLOOKUP($A17,TabelaProdutos[#All],7,FALSE),"Selecione um produto")</f>
        <v>81</v>
      </c>
      <c r="G17" s="20">
        <f>IFERROR(VLOOKUP($A17,TabelaProdutos[#All],8,FALSE),"Selecione um produto")</f>
        <v>82</v>
      </c>
      <c r="H17" s="20">
        <f>IFERROR(VLOOKUP($A17,TabelaProdutos[#All],9,FALSE),"Selecione um produto")</f>
        <v>150</v>
      </c>
      <c r="I17" s="27">
        <f>MIN(Orcamento[[#This Row],[Leroy Merlin]:[Loja 7]])</f>
        <v>80</v>
      </c>
      <c r="J17" s="28">
        <f>MAX(Orcamento[[#This Row],[Leroy Merlin]:[Mínimos]])</f>
        <v>226.9</v>
      </c>
    </row>
    <row r="18" spans="1:10" ht="30">
      <c r="A18" s="26" t="s">
        <v>102</v>
      </c>
      <c r="B18" s="20">
        <f>IFERROR(VLOOKUP(A18,TabelaProdutos[#All],3,FALSE),"Selecione um produto")</f>
        <v>313.89999999999998</v>
      </c>
      <c r="C18" s="20">
        <f>IFERROR(VLOOKUP(A18,TabelaProdutos[#All],4,FALSE),"Selecione um produto")</f>
        <v>28.5</v>
      </c>
      <c r="D18" s="20">
        <f>IFERROR(VLOOKUP(A18,TabelaProdutos[#All],5,FALSE),"Selecione um produto")</f>
        <v>28.3</v>
      </c>
      <c r="E18" s="20">
        <f>IFERROR(VLOOKUP($A18,TabelaProdutos[#All],6,FALSE),"Selecione um produto")</f>
        <v>25</v>
      </c>
      <c r="F18" s="20">
        <f>IFERROR(VLOOKUP($A18,TabelaProdutos[#All],7,FALSE),"Selecione um produto")</f>
        <v>26.8</v>
      </c>
      <c r="G18" s="20">
        <f>IFERROR(VLOOKUP($A18,TabelaProdutos[#All],8,FALSE),"Selecione um produto")</f>
        <v>27</v>
      </c>
      <c r="H18" s="20">
        <f>IFERROR(VLOOKUP($A18,TabelaProdutos[#All],9,FALSE),"Selecione um produto")</f>
        <v>50</v>
      </c>
      <c r="I18" s="27">
        <f>MIN(Orcamento[[#This Row],[Leroy Merlin]:[Loja 7]])</f>
        <v>25</v>
      </c>
      <c r="J18" s="28">
        <f>MAX(Orcamento[[#This Row],[Leroy Merlin]:[Mínimos]])</f>
        <v>313.89999999999998</v>
      </c>
    </row>
    <row r="19" spans="1:10" ht="30">
      <c r="A19" s="26" t="s">
        <v>30</v>
      </c>
      <c r="B19" s="20" t="str">
        <f>IFERROR(VLOOKUP(A19,TabelaProdutos[#All],3,FALSE),"Selecione um produto")</f>
        <v>Selecione um produto</v>
      </c>
      <c r="C19" s="20" t="str">
        <f>IFERROR(VLOOKUP(A19,TabelaProdutos[#All],4,FALSE),"Selecione um produto")</f>
        <v>Selecione um produto</v>
      </c>
      <c r="D19" s="20" t="str">
        <f>IFERROR(VLOOKUP(A19,TabelaProdutos[#All],5,FALSE),"Selecione um produto")</f>
        <v>Selecione um produto</v>
      </c>
      <c r="E19" s="20" t="str">
        <f>IFERROR(VLOOKUP($A19,TabelaProdutos[#All],6,FALSE),"Selecione um produto")</f>
        <v>Selecione um produto</v>
      </c>
      <c r="F19" s="20" t="str">
        <f>IFERROR(VLOOKUP($A19,TabelaProdutos[#All],7,FALSE),"Selecione um produto")</f>
        <v>Selecione um produto</v>
      </c>
      <c r="G19" s="20" t="str">
        <f>IFERROR(VLOOKUP($A19,TabelaProdutos[#All],8,FALSE),"Selecione um produto")</f>
        <v>Selecione um produto</v>
      </c>
      <c r="H19" s="20" t="str">
        <f>IFERROR(VLOOKUP($A19,TabelaProdutos[#All],9,FALSE),"Selecione um produto")</f>
        <v>Selecione um produto</v>
      </c>
      <c r="I19" s="27">
        <f>MIN(Orcamento[[#This Row],[Leroy Merlin]:[Loja 7]])</f>
        <v>0</v>
      </c>
      <c r="J19" s="28">
        <f>MAX(Orcamento[[#This Row],[Leroy Merlin]:[Mínimos]])</f>
        <v>0</v>
      </c>
    </row>
    <row r="20" spans="1:10">
      <c r="A20" s="26" t="s">
        <v>31</v>
      </c>
      <c r="B20" s="20" t="str">
        <f>IFERROR(VLOOKUP(A20,TabelaProdutos[#All],3,FALSE),"Selecione um produto")</f>
        <v>Selecione um produto</v>
      </c>
      <c r="C20" s="20" t="str">
        <f>IFERROR(VLOOKUP(A20,TabelaProdutos[#All],4,FALSE),"Selecione um produto")</f>
        <v>Selecione um produto</v>
      </c>
      <c r="D20" s="20" t="str">
        <f>IFERROR(VLOOKUP(A20,TabelaProdutos[#All],5,FALSE),"Selecione um produto")</f>
        <v>Selecione um produto</v>
      </c>
      <c r="E20" s="20" t="str">
        <f>IFERROR(VLOOKUP($A20,TabelaProdutos[#All],6,FALSE),"Selecione um produto")</f>
        <v>Selecione um produto</v>
      </c>
      <c r="F20" s="20" t="str">
        <f>IFERROR(VLOOKUP($A20,TabelaProdutos[#All],7,FALSE),"Selecione um produto")</f>
        <v>Selecione um produto</v>
      </c>
      <c r="G20" s="20" t="str">
        <f>IFERROR(VLOOKUP($A20,TabelaProdutos[#All],8,FALSE),"Selecione um produto")</f>
        <v>Selecione um produto</v>
      </c>
      <c r="H20" s="20" t="str">
        <f>IFERROR(VLOOKUP($A20,TabelaProdutos[#All],9,FALSE),"Selecione um produto")</f>
        <v>Selecione um produto</v>
      </c>
      <c r="I20" s="27">
        <f>MIN(Orcamento[[#This Row],[Leroy Merlin]:[Loja 7]])</f>
        <v>0</v>
      </c>
      <c r="J20" s="28">
        <f>MAX(Orcamento[[#This Row],[Leroy Merlin]:[Mínimos]])</f>
        <v>0</v>
      </c>
    </row>
    <row r="21" spans="1:10" ht="30">
      <c r="A21" s="26" t="s">
        <v>35</v>
      </c>
      <c r="B21" s="20" t="str">
        <f>IFERROR(VLOOKUP(A21,TabelaProdutos[#All],3,FALSE),"Selecione um produto")</f>
        <v>Selecione um produto</v>
      </c>
      <c r="C21" s="20" t="str">
        <f>IFERROR(VLOOKUP(A21,TabelaProdutos[#All],4,FALSE),"Selecione um produto")</f>
        <v>Selecione um produto</v>
      </c>
      <c r="D21" s="20" t="str">
        <f>IFERROR(VLOOKUP(A21,TabelaProdutos[#All],5,FALSE),"Selecione um produto")</f>
        <v>Selecione um produto</v>
      </c>
      <c r="E21" s="20" t="str">
        <f>IFERROR(VLOOKUP($A21,TabelaProdutos[#All],6,FALSE),"Selecione um produto")</f>
        <v>Selecione um produto</v>
      </c>
      <c r="F21" s="20" t="str">
        <f>IFERROR(VLOOKUP($A21,TabelaProdutos[#All],7,FALSE),"Selecione um produto")</f>
        <v>Selecione um produto</v>
      </c>
      <c r="G21" s="20" t="str">
        <f>IFERROR(VLOOKUP($A21,TabelaProdutos[#All],8,FALSE),"Selecione um produto")</f>
        <v>Selecione um produto</v>
      </c>
      <c r="H21" s="20" t="str">
        <f>IFERROR(VLOOKUP($A21,TabelaProdutos[#All],9,FALSE),"Selecione um produto")</f>
        <v>Selecione um produto</v>
      </c>
      <c r="I21" s="27">
        <f>MIN(Orcamento[[#This Row],[Leroy Merlin]:[Loja 7]])</f>
        <v>0</v>
      </c>
      <c r="J21" s="28">
        <f>MAX(Orcamento[[#This Row],[Leroy Merlin]:[Mínimos]])</f>
        <v>0</v>
      </c>
    </row>
    <row r="22" spans="1:10" ht="30">
      <c r="A22" s="26" t="s">
        <v>34</v>
      </c>
      <c r="B22" s="20" t="str">
        <f>IFERROR(VLOOKUP(A22,TabelaProdutos[#All],3,FALSE),"Selecione um produto")</f>
        <v>Selecione um produto</v>
      </c>
      <c r="C22" s="20" t="str">
        <f>IFERROR(VLOOKUP(A22,TabelaProdutos[#All],4,FALSE),"Selecione um produto")</f>
        <v>Selecione um produto</v>
      </c>
      <c r="D22" s="20" t="str">
        <f>IFERROR(VLOOKUP(A22,TabelaProdutos[#All],5,FALSE),"Selecione um produto")</f>
        <v>Selecione um produto</v>
      </c>
      <c r="E22" s="20" t="str">
        <f>IFERROR(VLOOKUP($A22,TabelaProdutos[#All],6,FALSE),"Selecione um produto")</f>
        <v>Selecione um produto</v>
      </c>
      <c r="F22" s="20" t="str">
        <f>IFERROR(VLOOKUP($A22,TabelaProdutos[#All],7,FALSE),"Selecione um produto")</f>
        <v>Selecione um produto</v>
      </c>
      <c r="G22" s="20" t="str">
        <f>IFERROR(VLOOKUP($A22,TabelaProdutos[#All],8,FALSE),"Selecione um produto")</f>
        <v>Selecione um produto</v>
      </c>
      <c r="H22" s="20" t="str">
        <f>IFERROR(VLOOKUP($A22,TabelaProdutos[#All],9,FALSE),"Selecione um produto")</f>
        <v>Selecione um produto</v>
      </c>
      <c r="I22" s="27">
        <f>MIN(Orcamento[[#This Row],[Leroy Merlin]:[Loja 7]])</f>
        <v>0</v>
      </c>
      <c r="J22" s="28">
        <f>MAX(Orcamento[[#This Row],[Leroy Merlin]:[Mínimos]])</f>
        <v>0</v>
      </c>
    </row>
    <row r="23" spans="1:10">
      <c r="A23" s="26" t="s">
        <v>31</v>
      </c>
      <c r="B23" s="20" t="str">
        <f>IFERROR(VLOOKUP(A23,TabelaProdutos[#All],3,FALSE),"Selecione um produto")</f>
        <v>Selecione um produto</v>
      </c>
      <c r="C23" s="20" t="str">
        <f>IFERROR(VLOOKUP(A23,TabelaProdutos[#All],4,FALSE),"Selecione um produto")</f>
        <v>Selecione um produto</v>
      </c>
      <c r="D23" s="20" t="str">
        <f>IFERROR(VLOOKUP(A23,TabelaProdutos[#All],5,FALSE),"Selecione um produto")</f>
        <v>Selecione um produto</v>
      </c>
      <c r="E23" s="20" t="str">
        <f>IFERROR(VLOOKUP($A23,TabelaProdutos[#All],6,FALSE),"Selecione um produto")</f>
        <v>Selecione um produto</v>
      </c>
      <c r="F23" s="20" t="str">
        <f>IFERROR(VLOOKUP($A23,TabelaProdutos[#All],7,FALSE),"Selecione um produto")</f>
        <v>Selecione um produto</v>
      </c>
      <c r="G23" s="20" t="str">
        <f>IFERROR(VLOOKUP($A23,TabelaProdutos[#All],8,FALSE),"Selecione um produto")</f>
        <v>Selecione um produto</v>
      </c>
      <c r="H23" s="20" t="str">
        <f>IFERROR(VLOOKUP($A23,TabelaProdutos[#All],9,FALSE),"Selecione um produto")</f>
        <v>Selecione um produto</v>
      </c>
      <c r="I23" s="27">
        <f>MIN(Orcamento[[#This Row],[Leroy Merlin]:[Loja 7]])</f>
        <v>0</v>
      </c>
      <c r="J23" s="28">
        <f>MAX(Orcamento[[#This Row],[Leroy Merlin]:[Mínimos]])</f>
        <v>0</v>
      </c>
    </row>
    <row r="24" spans="1:10" ht="30">
      <c r="A24" s="26" t="s">
        <v>38</v>
      </c>
      <c r="B24" s="20">
        <f>IFERROR(VLOOKUP(A24,TabelaProdutos[#All],3,FALSE),"Selecione um produto")</f>
        <v>1.29</v>
      </c>
      <c r="C24" s="20">
        <f>IFERROR(VLOOKUP(A24,TabelaProdutos[#All],4,FALSE),"Selecione um produto")</f>
        <v>1</v>
      </c>
      <c r="D24" s="20">
        <f>IFERROR(VLOOKUP(A24,TabelaProdutos[#All],5,FALSE),"Selecione um produto")</f>
        <v>1.2</v>
      </c>
      <c r="E24" s="20">
        <f>IFERROR(VLOOKUP($A24,TabelaProdutos[#All],6,FALSE),"Selecione um produto")</f>
        <v>1.3</v>
      </c>
      <c r="F24" s="20">
        <f>IFERROR(VLOOKUP($A24,TabelaProdutos[#All],7,FALSE),"Selecione um produto")</f>
        <v>10</v>
      </c>
      <c r="G24" s="20">
        <f>IFERROR(VLOOKUP($A24,TabelaProdutos[#All],8,FALSE),"Selecione um produto")</f>
        <v>8</v>
      </c>
      <c r="H24" s="20">
        <f>IFERROR(VLOOKUP($A24,TabelaProdutos[#All],9,FALSE),"Selecione um produto")</f>
        <v>1.4</v>
      </c>
      <c r="I24" s="27">
        <f>MIN(Orcamento[[#This Row],[Leroy Merlin]:[Loja 7]])</f>
        <v>1</v>
      </c>
      <c r="J24" s="28">
        <f>MAX(Orcamento[[#This Row],[Leroy Merlin]:[Mínimos]])</f>
        <v>10</v>
      </c>
    </row>
    <row r="25" spans="1:10" ht="30">
      <c r="A25" s="26" t="s">
        <v>30</v>
      </c>
      <c r="B25" s="20" t="str">
        <f>IFERROR(VLOOKUP(A25,TabelaProdutos[#All],3,FALSE),"Selecione um produto")</f>
        <v>Selecione um produto</v>
      </c>
      <c r="C25" s="20" t="str">
        <f>IFERROR(VLOOKUP(A25,TabelaProdutos[#All],4,FALSE),"Selecione um produto")</f>
        <v>Selecione um produto</v>
      </c>
      <c r="D25" s="20" t="str">
        <f>IFERROR(VLOOKUP(A25,TabelaProdutos[#All],5,FALSE),"Selecione um produto")</f>
        <v>Selecione um produto</v>
      </c>
      <c r="E25" s="20" t="str">
        <f>IFERROR(VLOOKUP($A25,TabelaProdutos[#All],6,FALSE),"Selecione um produto")</f>
        <v>Selecione um produto</v>
      </c>
      <c r="F25" s="20" t="str">
        <f>IFERROR(VLOOKUP($A25,TabelaProdutos[#All],7,FALSE),"Selecione um produto")</f>
        <v>Selecione um produto</v>
      </c>
      <c r="G25" s="20" t="str">
        <f>IFERROR(VLOOKUP($A25,TabelaProdutos[#All],8,FALSE),"Selecione um produto")</f>
        <v>Selecione um produto</v>
      </c>
      <c r="H25" s="20" t="str">
        <f>IFERROR(VLOOKUP($A25,TabelaProdutos[#All],9,FALSE),"Selecione um produto")</f>
        <v>Selecione um produto</v>
      </c>
      <c r="I25" s="27">
        <f>MIN(Orcamento[[#This Row],[Leroy Merlin]:[Loja 7]])</f>
        <v>0</v>
      </c>
      <c r="J25" s="28">
        <f>MAX(Orcamento[[#This Row],[Leroy Merlin]:[Mínimos]])</f>
        <v>0</v>
      </c>
    </row>
    <row r="26" spans="1:10" ht="30">
      <c r="A26" s="26" t="s">
        <v>29</v>
      </c>
      <c r="B26" s="20" t="str">
        <f>IFERROR(VLOOKUP(A26,TabelaProdutos[#All],3,FALSE),"Selecione um produto")</f>
        <v>Selecione um produto</v>
      </c>
      <c r="C26" s="20" t="str">
        <f>IFERROR(VLOOKUP(A26,TabelaProdutos[#All],4,FALSE),"Selecione um produto")</f>
        <v>Selecione um produto</v>
      </c>
      <c r="D26" s="20" t="str">
        <f>IFERROR(VLOOKUP(A26,TabelaProdutos[#All],5,FALSE),"Selecione um produto")</f>
        <v>Selecione um produto</v>
      </c>
      <c r="E26" s="20" t="str">
        <f>IFERROR(VLOOKUP($A26,TabelaProdutos[#All],6,FALSE),"Selecione um produto")</f>
        <v>Selecione um produto</v>
      </c>
      <c r="F26" s="20" t="str">
        <f>IFERROR(VLOOKUP($A26,TabelaProdutos[#All],7,FALSE),"Selecione um produto")</f>
        <v>Selecione um produto</v>
      </c>
      <c r="G26" s="20" t="str">
        <f>IFERROR(VLOOKUP($A26,TabelaProdutos[#All],8,FALSE),"Selecione um produto")</f>
        <v>Selecione um produto</v>
      </c>
      <c r="H26" s="20" t="str">
        <f>IFERROR(VLOOKUP($A26,TabelaProdutos[#All],9,FALSE),"Selecione um produto")</f>
        <v>Selecione um produto</v>
      </c>
      <c r="I26" s="27">
        <f>MIN(Orcamento[[#This Row],[Leroy Merlin]:[Loja 7]])</f>
        <v>0</v>
      </c>
      <c r="J26" s="28">
        <f>MAX(Orcamento[[#This Row],[Leroy Merlin]:[Mínimos]])</f>
        <v>0</v>
      </c>
    </row>
    <row r="27" spans="1:10" ht="30">
      <c r="A27" s="26" t="s">
        <v>37</v>
      </c>
      <c r="B27" s="20">
        <f>IFERROR(VLOOKUP(A27,TabelaProdutos[#All],3,FALSE),"Selecione um produto")</f>
        <v>0.49</v>
      </c>
      <c r="C27" s="20">
        <f>IFERROR(VLOOKUP(A27,TabelaProdutos[#All],4,FALSE),"Selecione um produto")</f>
        <v>5</v>
      </c>
      <c r="D27" s="20">
        <f>IFERROR(VLOOKUP(A27,TabelaProdutos[#All],5,FALSE),"Selecione um produto")</f>
        <v>0.55000000000000004</v>
      </c>
      <c r="E27" s="20">
        <f>IFERROR(VLOOKUP($A27,TabelaProdutos[#All],6,FALSE),"Selecione um produto")</f>
        <v>10</v>
      </c>
      <c r="F27" s="20">
        <f>IFERROR(VLOOKUP($A27,TabelaProdutos[#All],7,FALSE),"Selecione um produto")</f>
        <v>0.3</v>
      </c>
      <c r="G27" s="20">
        <f>IFERROR(VLOOKUP($A27,TabelaProdutos[#All],8,FALSE),"Selecione um produto")</f>
        <v>0.45</v>
      </c>
      <c r="H27" s="20">
        <f>IFERROR(VLOOKUP($A27,TabelaProdutos[#All],9,FALSE),"Selecione um produto")</f>
        <v>0.65</v>
      </c>
      <c r="I27" s="27">
        <f>MIN(Orcamento[[#This Row],[Leroy Merlin]:[Loja 7]])</f>
        <v>0.3</v>
      </c>
      <c r="J27" s="28">
        <f>MAX(Orcamento[[#This Row],[Leroy Merlin]:[Mínimos]])</f>
        <v>10</v>
      </c>
    </row>
    <row r="28" spans="1:10" ht="30">
      <c r="A28" s="26" t="s">
        <v>30</v>
      </c>
      <c r="B28" s="20" t="str">
        <f>IFERROR(VLOOKUP(A28,TabelaProdutos[#All],3,FALSE),"Selecione um produto")</f>
        <v>Selecione um produto</v>
      </c>
      <c r="C28" s="20" t="str">
        <f>IFERROR(VLOOKUP(A28,TabelaProdutos[#All],4,FALSE),"Selecione um produto")</f>
        <v>Selecione um produto</v>
      </c>
      <c r="D28" s="20" t="str">
        <f>IFERROR(VLOOKUP(A28,TabelaProdutos[#All],5,FALSE),"Selecione um produto")</f>
        <v>Selecione um produto</v>
      </c>
      <c r="E28" s="20" t="str">
        <f>IFERROR(VLOOKUP($A28,TabelaProdutos[#All],6,FALSE),"Selecione um produto")</f>
        <v>Selecione um produto</v>
      </c>
      <c r="F28" s="20" t="str">
        <f>IFERROR(VLOOKUP($A28,TabelaProdutos[#All],7,FALSE),"Selecione um produto")</f>
        <v>Selecione um produto</v>
      </c>
      <c r="G28" s="20" t="str">
        <f>IFERROR(VLOOKUP($A28,TabelaProdutos[#All],8,FALSE),"Selecione um produto")</f>
        <v>Selecione um produto</v>
      </c>
      <c r="H28" s="20" t="str">
        <f>IFERROR(VLOOKUP($A28,TabelaProdutos[#All],9,FALSE),"Selecione um produto")</f>
        <v>Selecione um produto</v>
      </c>
      <c r="I28" s="27">
        <f>MIN(Orcamento[[#This Row],[Leroy Merlin]:[Loja 7]])</f>
        <v>0</v>
      </c>
      <c r="J28" s="28">
        <f>MAX(Orcamento[[#This Row],[Leroy Merlin]:[Mínimos]])</f>
        <v>0</v>
      </c>
    </row>
    <row r="29" spans="1:10" ht="30">
      <c r="A29" s="26" t="s">
        <v>33</v>
      </c>
      <c r="B29" s="20" t="str">
        <f>IFERROR(VLOOKUP(A29,TabelaProdutos[#All],3,FALSE),"Selecione um produto")</f>
        <v>Selecione um produto</v>
      </c>
      <c r="C29" s="20" t="str">
        <f>IFERROR(VLOOKUP(A29,TabelaProdutos[#All],4,FALSE),"Selecione um produto")</f>
        <v>Selecione um produto</v>
      </c>
      <c r="D29" s="20" t="str">
        <f>IFERROR(VLOOKUP(A29,TabelaProdutos[#All],5,FALSE),"Selecione um produto")</f>
        <v>Selecione um produto</v>
      </c>
      <c r="E29" s="20" t="str">
        <f>IFERROR(VLOOKUP($A29,TabelaProdutos[#All],6,FALSE),"Selecione um produto")</f>
        <v>Selecione um produto</v>
      </c>
      <c r="F29" s="20" t="str">
        <f>IFERROR(VLOOKUP($A29,TabelaProdutos[#All],7,FALSE),"Selecione um produto")</f>
        <v>Selecione um produto</v>
      </c>
      <c r="G29" s="20" t="str">
        <f>IFERROR(VLOOKUP($A29,TabelaProdutos[#All],8,FALSE),"Selecione um produto")</f>
        <v>Selecione um produto</v>
      </c>
      <c r="H29" s="20" t="str">
        <f>IFERROR(VLOOKUP($A29,TabelaProdutos[#All],9,FALSE),"Selecione um produto")</f>
        <v>Selecione um produto</v>
      </c>
      <c r="I29" s="27">
        <f>MIN(Orcamento[[#This Row],[Leroy Merlin]:[Loja 7]])</f>
        <v>0</v>
      </c>
      <c r="J29" s="28">
        <f>MAX(Orcamento[[#This Row],[Leroy Merlin]:[Mínimos]])</f>
        <v>0</v>
      </c>
    </row>
    <row r="30" spans="1:10">
      <c r="A30" s="26" t="s">
        <v>31</v>
      </c>
      <c r="B30" s="20" t="str">
        <f>IFERROR(VLOOKUP(A30,TabelaProdutos[#All],3,FALSE),"Selecione um produto")</f>
        <v>Selecione um produto</v>
      </c>
      <c r="C30" s="20" t="str">
        <f>IFERROR(VLOOKUP(A30,TabelaProdutos[#All],4,FALSE),"Selecione um produto")</f>
        <v>Selecione um produto</v>
      </c>
      <c r="D30" s="20" t="str">
        <f>IFERROR(VLOOKUP(A30,TabelaProdutos[#All],5,FALSE),"Selecione um produto")</f>
        <v>Selecione um produto</v>
      </c>
      <c r="E30" s="20" t="str">
        <f>IFERROR(VLOOKUP($A30,TabelaProdutos[#All],6,FALSE),"Selecione um produto")</f>
        <v>Selecione um produto</v>
      </c>
      <c r="F30" s="20" t="str">
        <f>IFERROR(VLOOKUP($A30,TabelaProdutos[#All],7,FALSE),"Selecione um produto")</f>
        <v>Selecione um produto</v>
      </c>
      <c r="G30" s="20" t="str">
        <f>IFERROR(VLOOKUP($A30,TabelaProdutos[#All],8,FALSE),"Selecione um produto")</f>
        <v>Selecione um produto</v>
      </c>
      <c r="H30" s="20" t="str">
        <f>IFERROR(VLOOKUP($A30,TabelaProdutos[#All],9,FALSE),"Selecione um produto")</f>
        <v>Selecione um produto</v>
      </c>
      <c r="I30" s="27">
        <f>MIN(Orcamento[[#This Row],[Leroy Merlin]:[Loja 7]])</f>
        <v>0</v>
      </c>
      <c r="J30" s="28">
        <f>MAX(Orcamento[[#This Row],[Leroy Merlin]:[Mínimos]])</f>
        <v>0</v>
      </c>
    </row>
    <row r="31" spans="1:10" ht="30">
      <c r="A31" s="26" t="s">
        <v>29</v>
      </c>
      <c r="B31" s="20" t="str">
        <f>IFERROR(VLOOKUP(A31,TabelaProdutos[#All],3,FALSE),"Selecione um produto")</f>
        <v>Selecione um produto</v>
      </c>
      <c r="C31" s="20" t="str">
        <f>IFERROR(VLOOKUP(A31,TabelaProdutos[#All],4,FALSE),"Selecione um produto")</f>
        <v>Selecione um produto</v>
      </c>
      <c r="D31" s="20" t="str">
        <f>IFERROR(VLOOKUP(A31,TabelaProdutos[#All],5,FALSE),"Selecione um produto")</f>
        <v>Selecione um produto</v>
      </c>
      <c r="E31" s="20" t="str">
        <f>IFERROR(VLOOKUP($A31,TabelaProdutos[#All],6,FALSE),"Selecione um produto")</f>
        <v>Selecione um produto</v>
      </c>
      <c r="F31" s="20" t="str">
        <f>IFERROR(VLOOKUP($A31,TabelaProdutos[#All],7,FALSE),"Selecione um produto")</f>
        <v>Selecione um produto</v>
      </c>
      <c r="G31" s="20" t="str">
        <f>IFERROR(VLOOKUP($A31,TabelaProdutos[#All],8,FALSE),"Selecione um produto")</f>
        <v>Selecione um produto</v>
      </c>
      <c r="H31" s="20" t="str">
        <f>IFERROR(VLOOKUP($A31,TabelaProdutos[#All],9,FALSE),"Selecione um produto")</f>
        <v>Selecione um produto</v>
      </c>
      <c r="I31" s="27">
        <f>MIN(Orcamento[[#This Row],[Leroy Merlin]:[Loja 7]])</f>
        <v>0</v>
      </c>
      <c r="J31" s="28">
        <f>MAX(Orcamento[[#This Row],[Leroy Merlin]:[Mínimos]])</f>
        <v>0</v>
      </c>
    </row>
    <row r="32" spans="1:10" ht="30">
      <c r="A32" s="26" t="s">
        <v>32</v>
      </c>
      <c r="B32" s="20" t="str">
        <f>IFERROR(VLOOKUP(A32,TabelaProdutos[#All],3,FALSE),"Selecione um produto")</f>
        <v>Selecione um produto</v>
      </c>
      <c r="C32" s="20" t="str">
        <f>IFERROR(VLOOKUP(A32,TabelaProdutos[#All],4,FALSE),"Selecione um produto")</f>
        <v>Selecione um produto</v>
      </c>
      <c r="D32" s="20" t="str">
        <f>IFERROR(VLOOKUP(A32,TabelaProdutos[#All],5,FALSE),"Selecione um produto")</f>
        <v>Selecione um produto</v>
      </c>
      <c r="E32" s="20" t="str">
        <f>IFERROR(VLOOKUP($A32,TabelaProdutos[#All],6,FALSE),"Selecione um produto")</f>
        <v>Selecione um produto</v>
      </c>
      <c r="F32" s="20" t="str">
        <f>IFERROR(VLOOKUP($A32,TabelaProdutos[#All],7,FALSE),"Selecione um produto")</f>
        <v>Selecione um produto</v>
      </c>
      <c r="G32" s="20" t="str">
        <f>IFERROR(VLOOKUP($A32,TabelaProdutos[#All],8,FALSE),"Selecione um produto")</f>
        <v>Selecione um produto</v>
      </c>
      <c r="H32" s="20" t="str">
        <f>IFERROR(VLOOKUP($A32,TabelaProdutos[#All],9,FALSE),"Selecione um produto")</f>
        <v>Selecione um produto</v>
      </c>
      <c r="I32" s="27">
        <f>MIN(Orcamento[[#This Row],[Leroy Merlin]:[Loja 7]])</f>
        <v>0</v>
      </c>
      <c r="J32" s="28">
        <f>MAX(Orcamento[[#This Row],[Leroy Merlin]:[Mínimos]])</f>
        <v>0</v>
      </c>
    </row>
    <row r="33" spans="1:10" ht="30">
      <c r="A33" s="26" t="s">
        <v>33</v>
      </c>
      <c r="B33" s="20" t="str">
        <f>IFERROR(VLOOKUP(A33,TabelaProdutos[#All],3,FALSE),"Selecione um produto")</f>
        <v>Selecione um produto</v>
      </c>
      <c r="C33" s="20" t="str">
        <f>IFERROR(VLOOKUP(A33,TabelaProdutos[#All],4,FALSE),"Selecione um produto")</f>
        <v>Selecione um produto</v>
      </c>
      <c r="D33" s="20" t="str">
        <f>IFERROR(VLOOKUP(A33,TabelaProdutos[#All],5,FALSE),"Selecione um produto")</f>
        <v>Selecione um produto</v>
      </c>
      <c r="E33" s="20" t="str">
        <f>IFERROR(VLOOKUP($A33,TabelaProdutos[#All],6,FALSE),"Selecione um produto")</f>
        <v>Selecione um produto</v>
      </c>
      <c r="F33" s="20" t="str">
        <f>IFERROR(VLOOKUP($A33,TabelaProdutos[#All],7,FALSE),"Selecione um produto")</f>
        <v>Selecione um produto</v>
      </c>
      <c r="G33" s="20" t="str">
        <f>IFERROR(VLOOKUP($A33,TabelaProdutos[#All],8,FALSE),"Selecione um produto")</f>
        <v>Selecione um produto</v>
      </c>
      <c r="H33" s="20" t="str">
        <f>IFERROR(VLOOKUP($A33,TabelaProdutos[#All],9,FALSE),"Selecione um produto")</f>
        <v>Selecione um produto</v>
      </c>
      <c r="I33" s="27">
        <f>MIN(Orcamento[[#This Row],[Leroy Merlin]:[Loja 7]])</f>
        <v>0</v>
      </c>
      <c r="J33" s="28">
        <f>MAX(Orcamento[[#This Row],[Leroy Merlin]:[Mínimos]])</f>
        <v>0</v>
      </c>
    </row>
    <row r="34" spans="1:10" ht="30">
      <c r="A34" s="26" t="s">
        <v>29</v>
      </c>
      <c r="B34" s="20" t="str">
        <f>IFERROR(VLOOKUP(A34,TabelaProdutos[#All],3,FALSE),"Selecione um produto")</f>
        <v>Selecione um produto</v>
      </c>
      <c r="C34" s="20" t="str">
        <f>IFERROR(VLOOKUP(A34,TabelaProdutos[#All],4,FALSE),"Selecione um produto")</f>
        <v>Selecione um produto</v>
      </c>
      <c r="D34" s="20" t="str">
        <f>IFERROR(VLOOKUP(A34,TabelaProdutos[#All],5,FALSE),"Selecione um produto")</f>
        <v>Selecione um produto</v>
      </c>
      <c r="E34" s="20" t="str">
        <f>IFERROR(VLOOKUP($A34,TabelaProdutos[#All],6,FALSE),"Selecione um produto")</f>
        <v>Selecione um produto</v>
      </c>
      <c r="F34" s="20" t="str">
        <f>IFERROR(VLOOKUP($A34,TabelaProdutos[#All],7,FALSE),"Selecione um produto")</f>
        <v>Selecione um produto</v>
      </c>
      <c r="G34" s="20" t="str">
        <f>IFERROR(VLOOKUP($A34,TabelaProdutos[#All],8,FALSE),"Selecione um produto")</f>
        <v>Selecione um produto</v>
      </c>
      <c r="H34" s="20" t="str">
        <f>IFERROR(VLOOKUP($A34,TabelaProdutos[#All],9,FALSE),"Selecione um produto")</f>
        <v>Selecione um produto</v>
      </c>
      <c r="I34" s="27">
        <f>MIN(Orcamento[[#This Row],[Leroy Merlin]:[Loja 7]])</f>
        <v>0</v>
      </c>
      <c r="J34" s="28">
        <f>MAX(Orcamento[[#This Row],[Leroy Merlin]:[Mínimos]])</f>
        <v>0</v>
      </c>
    </row>
    <row r="35" spans="1:10" ht="30">
      <c r="A35" s="26" t="s">
        <v>34</v>
      </c>
      <c r="B35" s="20" t="str">
        <f>IFERROR(VLOOKUP(A35,TabelaProdutos[#All],3,FALSE),"Selecione um produto")</f>
        <v>Selecione um produto</v>
      </c>
      <c r="C35" s="20" t="str">
        <f>IFERROR(VLOOKUP(A35,TabelaProdutos[#All],4,FALSE),"Selecione um produto")</f>
        <v>Selecione um produto</v>
      </c>
      <c r="D35" s="20" t="str">
        <f>IFERROR(VLOOKUP(A35,TabelaProdutos[#All],5,FALSE),"Selecione um produto")</f>
        <v>Selecione um produto</v>
      </c>
      <c r="E35" s="20" t="str">
        <f>IFERROR(VLOOKUP($A35,TabelaProdutos[#All],6,FALSE),"Selecione um produto")</f>
        <v>Selecione um produto</v>
      </c>
      <c r="F35" s="20" t="str">
        <f>IFERROR(VLOOKUP($A35,TabelaProdutos[#All],7,FALSE),"Selecione um produto")</f>
        <v>Selecione um produto</v>
      </c>
      <c r="G35" s="20" t="str">
        <f>IFERROR(VLOOKUP($A35,TabelaProdutos[#All],8,FALSE),"Selecione um produto")</f>
        <v>Selecione um produto</v>
      </c>
      <c r="H35" s="20" t="str">
        <f>IFERROR(VLOOKUP($A35,TabelaProdutos[#All],9,FALSE),"Selecione um produto")</f>
        <v>Selecione um produto</v>
      </c>
      <c r="I35" s="27">
        <f>MIN(Orcamento[[#This Row],[Leroy Merlin]:[Loja 7]])</f>
        <v>0</v>
      </c>
      <c r="J35" s="28">
        <f>MAX(Orcamento[[#This Row],[Leroy Merlin]:[Mínimos]])</f>
        <v>0</v>
      </c>
    </row>
    <row r="36" spans="1:10" ht="30">
      <c r="A36" s="26" t="s">
        <v>29</v>
      </c>
      <c r="B36" s="20" t="str">
        <f>IFERROR(VLOOKUP(A36,TabelaProdutos[#All],3,FALSE),"Selecione um produto")</f>
        <v>Selecione um produto</v>
      </c>
      <c r="C36" s="20" t="str">
        <f>IFERROR(VLOOKUP(A36,TabelaProdutos[#All],4,FALSE),"Selecione um produto")</f>
        <v>Selecione um produto</v>
      </c>
      <c r="D36" s="20" t="str">
        <f>IFERROR(VLOOKUP(A36,TabelaProdutos[#All],5,FALSE),"Selecione um produto")</f>
        <v>Selecione um produto</v>
      </c>
      <c r="E36" s="20" t="str">
        <f>IFERROR(VLOOKUP($A36,TabelaProdutos[#All],6,FALSE),"Selecione um produto")</f>
        <v>Selecione um produto</v>
      </c>
      <c r="F36" s="20" t="str">
        <f>IFERROR(VLOOKUP($A36,TabelaProdutos[#All],7,FALSE),"Selecione um produto")</f>
        <v>Selecione um produto</v>
      </c>
      <c r="G36" s="20" t="str">
        <f>IFERROR(VLOOKUP($A36,TabelaProdutos[#All],8,FALSE),"Selecione um produto")</f>
        <v>Selecione um produto</v>
      </c>
      <c r="H36" s="20" t="str">
        <f>IFERROR(VLOOKUP($A36,TabelaProdutos[#All],9,FALSE),"Selecione um produto")</f>
        <v>Selecione um produto</v>
      </c>
      <c r="I36" s="27">
        <f>MIN(Orcamento[[#This Row],[Leroy Merlin]:[Loja 7]])</f>
        <v>0</v>
      </c>
      <c r="J36" s="28">
        <f>MAX(Orcamento[[#This Row],[Leroy Merlin]:[Mínimos]])</f>
        <v>0</v>
      </c>
    </row>
    <row r="37" spans="1:10" ht="30">
      <c r="A37" s="26" t="s">
        <v>38</v>
      </c>
      <c r="B37" s="20">
        <f>IFERROR(VLOOKUP(A37,TabelaProdutos[#All],3,FALSE),"Selecione um produto")</f>
        <v>1.29</v>
      </c>
      <c r="C37" s="20">
        <f>IFERROR(VLOOKUP(A37,TabelaProdutos[#All],4,FALSE),"Selecione um produto")</f>
        <v>1</v>
      </c>
      <c r="D37" s="20">
        <f>IFERROR(VLOOKUP(A37,TabelaProdutos[#All],5,FALSE),"Selecione um produto")</f>
        <v>1.2</v>
      </c>
      <c r="E37" s="20">
        <f>IFERROR(VLOOKUP($A37,TabelaProdutos[#All],6,FALSE),"Selecione um produto")</f>
        <v>1.3</v>
      </c>
      <c r="F37" s="20">
        <f>IFERROR(VLOOKUP($A37,TabelaProdutos[#All],7,FALSE),"Selecione um produto")</f>
        <v>10</v>
      </c>
      <c r="G37" s="20">
        <f>IFERROR(VLOOKUP($A37,TabelaProdutos[#All],8,FALSE),"Selecione um produto")</f>
        <v>8</v>
      </c>
      <c r="H37" s="20">
        <f>IFERROR(VLOOKUP($A37,TabelaProdutos[#All],9,FALSE),"Selecione um produto")</f>
        <v>1.4</v>
      </c>
      <c r="I37" s="27">
        <f>MIN(Orcamento[[#This Row],[Leroy Merlin]:[Loja 7]])</f>
        <v>1</v>
      </c>
      <c r="J37" s="28">
        <f>MAX(Orcamento[[#This Row],[Leroy Merlin]:[Mínimos]])</f>
        <v>10</v>
      </c>
    </row>
    <row r="38" spans="1:10" ht="30">
      <c r="A38" s="26" t="s">
        <v>33</v>
      </c>
      <c r="B38" s="20" t="str">
        <f>IFERROR(VLOOKUP(A38,TabelaProdutos[#All],3,FALSE),"Selecione um produto")</f>
        <v>Selecione um produto</v>
      </c>
      <c r="C38" s="20" t="str">
        <f>IFERROR(VLOOKUP(A38,TabelaProdutos[#All],4,FALSE),"Selecione um produto")</f>
        <v>Selecione um produto</v>
      </c>
      <c r="D38" s="20" t="str">
        <f>IFERROR(VLOOKUP(A38,TabelaProdutos[#All],5,FALSE),"Selecione um produto")</f>
        <v>Selecione um produto</v>
      </c>
      <c r="E38" s="20" t="str">
        <f>IFERROR(VLOOKUP($A38,TabelaProdutos[#All],6,FALSE),"Selecione um produto")</f>
        <v>Selecione um produto</v>
      </c>
      <c r="F38" s="20" t="str">
        <f>IFERROR(VLOOKUP($A38,TabelaProdutos[#All],7,FALSE),"Selecione um produto")</f>
        <v>Selecione um produto</v>
      </c>
      <c r="G38" s="20" t="str">
        <f>IFERROR(VLOOKUP($A38,TabelaProdutos[#All],8,FALSE),"Selecione um produto")</f>
        <v>Selecione um produto</v>
      </c>
      <c r="H38" s="20" t="str">
        <f>IFERROR(VLOOKUP($A38,TabelaProdutos[#All],9,FALSE),"Selecione um produto")</f>
        <v>Selecione um produto</v>
      </c>
      <c r="I38" s="27">
        <f>MIN(Orcamento[[#This Row],[Leroy Merlin]:[Loja 7]])</f>
        <v>0</v>
      </c>
      <c r="J38" s="28">
        <f>MAX(Orcamento[[#This Row],[Leroy Merlin]:[Mínimos]])</f>
        <v>0</v>
      </c>
    </row>
  </sheetData>
  <mergeCells count="12">
    <mergeCell ref="L5:L6"/>
    <mergeCell ref="I5:I6"/>
    <mergeCell ref="J5:J6"/>
    <mergeCell ref="A1:K1"/>
    <mergeCell ref="K5:K6"/>
    <mergeCell ref="C4:D4"/>
    <mergeCell ref="C3:D3"/>
    <mergeCell ref="E3:F3"/>
    <mergeCell ref="F4:G4"/>
    <mergeCell ref="B2:D2"/>
    <mergeCell ref="E2:F2"/>
    <mergeCell ref="G2:K2"/>
  </mergeCells>
  <phoneticPr fontId="2" type="noConversion"/>
  <conditionalFormatting sqref="B7:H9">
    <cfRule type="cellIs" dxfId="40" priority="8" operator="equal">
      <formula>MIN($B$7:$H$7)</formula>
    </cfRule>
    <cfRule type="iconSet" priority="156">
      <iconSet iconSet="3Symbols2" reverse="1">
        <cfvo type="percent" val="0"/>
        <cfvo type="percent" val="33"/>
        <cfvo type="percent" val="67"/>
      </iconSet>
    </cfRule>
  </conditionalFormatting>
  <conditionalFormatting sqref="B15">
    <cfRule type="cellIs" dxfId="39" priority="154" operator="equal">
      <formula>MIN(A1:G1)</formula>
    </cfRule>
  </conditionalFormatting>
  <conditionalFormatting sqref="B24">
    <cfRule type="cellIs" dxfId="38" priority="153" operator="equal">
      <formula>MIN(A1:G1)</formula>
    </cfRule>
  </conditionalFormatting>
  <conditionalFormatting sqref="B26">
    <cfRule type="cellIs" dxfId="37" priority="152" operator="equal">
      <formula>MIN(A1:G1)</formula>
    </cfRule>
  </conditionalFormatting>
  <conditionalFormatting sqref="B28">
    <cfRule type="cellIs" dxfId="36" priority="151" operator="equal">
      <formula>MIN(A1:G1)</formula>
    </cfRule>
  </conditionalFormatting>
  <conditionalFormatting sqref="B30">
    <cfRule type="cellIs" dxfId="35" priority="150" operator="equal">
      <formula>MIN(A1:G1)</formula>
    </cfRule>
  </conditionalFormatting>
  <conditionalFormatting sqref="B14">
    <cfRule type="cellIs" dxfId="34" priority="10" stopIfTrue="1" operator="equal">
      <formula>Mínimo(A1:G1)</formula>
    </cfRule>
    <cfRule type="cellIs" dxfId="33" priority="11" stopIfTrue="1" operator="equal">
      <formula>Mínimo(A1:G1)</formula>
    </cfRule>
  </conditionalFormatting>
  <conditionalFormatting sqref="B14:H14">
    <cfRule type="cellIs" dxfId="32" priority="9" stopIfTrue="1" operator="equal">
      <formula>Mínimo(A1:G1)</formula>
    </cfRule>
  </conditionalFormatting>
  <conditionalFormatting sqref="B15:E15">
    <cfRule type="cellIs" dxfId="31" priority="1" operator="lessThan">
      <formula>MIN(B15:H15)</formula>
    </cfRule>
  </conditionalFormatting>
  <conditionalFormatting sqref="F15">
    <cfRule type="cellIs" dxfId="30" priority="163" operator="lessThan">
      <formula>MIN(F15:K15)</formula>
    </cfRule>
  </conditionalFormatting>
  <conditionalFormatting sqref="G15:H15">
    <cfRule type="cellIs" dxfId="29" priority="166" operator="lessThan">
      <formula>MIN(G15:K15)</formula>
    </cfRule>
  </conditionalFormatting>
  <dataValidations count="2">
    <dataValidation type="list" allowBlank="1" showInputMessage="1" showErrorMessage="1" sqref="A13:A41" xr:uid="{06C2E40F-B552-4FA8-B8E6-A2B9B57C9A4D}">
      <formula1>ProdutosNome</formula1>
    </dataValidation>
    <dataValidation type="list" allowBlank="1" showInputMessage="1" showErrorMessage="1" sqref="B6:H6 B12:H12" xr:uid="{ACBA672E-F2E5-4C7E-9EF9-60716F9E7266}">
      <formula1>Fornecedores</formula1>
    </dataValidation>
  </dataValidations>
  <hyperlinks>
    <hyperlink ref="G2" r:id="rId1" xr:uid="{03BFDB55-8050-479D-A1F6-B630D9699BD9}"/>
  </hyperlinks>
  <pageMargins left="0.511811024" right="0.511811024" top="0.78740157499999996" bottom="0.78740157499999996" header="0.31496062000000002" footer="0.31496062000000002"/>
  <pageSetup paperSize="9" orientation="landscape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1FB99-54BB-457F-95B3-71F0034117A8}">
  <sheetPr codeName="Planilha2"/>
  <dimension ref="A1:G81"/>
  <sheetViews>
    <sheetView tabSelected="1" workbookViewId="0">
      <selection activeCell="G11" sqref="G11"/>
    </sheetView>
  </sheetViews>
  <sheetFormatPr defaultRowHeight="15"/>
  <cols>
    <col min="1" max="1" width="15.140625" bestFit="1" customWidth="1"/>
    <col min="2" max="2" width="8.42578125" bestFit="1" customWidth="1"/>
    <col min="3" max="3" width="13.28515625" bestFit="1" customWidth="1"/>
    <col min="4" max="4" width="13.7109375" bestFit="1" customWidth="1"/>
    <col min="5" max="5" width="14.42578125" bestFit="1" customWidth="1"/>
    <col min="6" max="6" width="13.28515625" bestFit="1" customWidth="1"/>
    <col min="7" max="7" width="9.140625" bestFit="1" customWidth="1"/>
  </cols>
  <sheetData>
    <row r="1" spans="1:7" ht="24" thickBot="1">
      <c r="A1" s="57" t="s">
        <v>84</v>
      </c>
      <c r="B1" s="57"/>
      <c r="C1" s="57"/>
      <c r="D1" s="57"/>
      <c r="E1" s="57"/>
      <c r="F1" s="57"/>
      <c r="G1" s="57"/>
    </row>
    <row r="2" spans="1:7" ht="16.5" thickTop="1">
      <c r="A2" s="55" t="s">
        <v>72</v>
      </c>
      <c r="B2" s="56"/>
      <c r="C2" s="36" t="s">
        <v>78</v>
      </c>
      <c r="D2" s="41">
        <v>2.8</v>
      </c>
    </row>
    <row r="3" spans="1:7" ht="15.75">
      <c r="A3" s="35" t="s">
        <v>73</v>
      </c>
      <c r="B3" s="37">
        <v>0.9</v>
      </c>
      <c r="C3" s="36" t="s">
        <v>80</v>
      </c>
      <c r="D3" s="42">
        <v>0.5</v>
      </c>
    </row>
    <row r="4" spans="1:7" ht="15.75">
      <c r="A4" s="35" t="s">
        <v>74</v>
      </c>
      <c r="B4" s="37">
        <v>0.14000000000000001</v>
      </c>
      <c r="C4" s="36" t="s">
        <v>79</v>
      </c>
      <c r="D4" s="37">
        <f>SUM(E9+E16)</f>
        <v>0</v>
      </c>
    </row>
    <row r="5" spans="1:7" ht="15.75">
      <c r="A5" s="35" t="s">
        <v>75</v>
      </c>
      <c r="B5" s="37">
        <v>0.19</v>
      </c>
      <c r="C5" s="36" t="s">
        <v>81</v>
      </c>
      <c r="D5" s="37">
        <f>SUM(G9+G16+G22+G29+G36+G43+G50+G57+G64+G70+G76)</f>
        <v>0</v>
      </c>
    </row>
    <row r="6" spans="1:7" ht="15.75">
      <c r="A6" s="35" t="s">
        <v>76</v>
      </c>
      <c r="B6" s="38">
        <v>2.6599999999999999E-2</v>
      </c>
      <c r="C6" s="36" t="s">
        <v>83</v>
      </c>
      <c r="D6" s="37">
        <f>D5+10%</f>
        <v>0.1</v>
      </c>
    </row>
    <row r="7" spans="1:7" ht="16.5" thickBot="1">
      <c r="A7" s="35" t="s">
        <v>77</v>
      </c>
      <c r="B7" s="39">
        <f>1/B6</f>
        <v>37.593984962406019</v>
      </c>
      <c r="C7" s="40" t="s">
        <v>82</v>
      </c>
      <c r="D7" s="43">
        <f>D6*D3</f>
        <v>0.05</v>
      </c>
    </row>
    <row r="8" spans="1:7" ht="15.75" thickTop="1">
      <c r="A8" s="44"/>
    </row>
    <row r="9" spans="1:7" ht="21">
      <c r="A9" s="54" t="s">
        <v>113</v>
      </c>
      <c r="B9" s="54"/>
      <c r="C9" s="54"/>
      <c r="D9" s="21" t="s">
        <v>9</v>
      </c>
      <c r="E9" s="21">
        <f>SUM(G11:G14)</f>
        <v>0</v>
      </c>
      <c r="F9" s="21" t="s">
        <v>10</v>
      </c>
      <c r="G9" s="21">
        <f>E9*B7</f>
        <v>0</v>
      </c>
    </row>
    <row r="10" spans="1:7">
      <c r="B10" s="31" t="s">
        <v>4</v>
      </c>
      <c r="C10" s="31" t="s">
        <v>5</v>
      </c>
      <c r="D10" s="31" t="s">
        <v>6</v>
      </c>
      <c r="E10" s="31" t="s">
        <v>8</v>
      </c>
      <c r="F10" s="31" t="s">
        <v>7</v>
      </c>
      <c r="G10" s="31" t="s">
        <v>9</v>
      </c>
    </row>
    <row r="11" spans="1:7" ht="15.75">
      <c r="A11" s="25" t="s">
        <v>0</v>
      </c>
      <c r="B11" s="34">
        <v>3.5</v>
      </c>
      <c r="C11" s="34">
        <v>0</v>
      </c>
      <c r="D11" s="34">
        <v>0</v>
      </c>
      <c r="E11" s="34">
        <v>0</v>
      </c>
      <c r="F11" s="34">
        <v>0</v>
      </c>
      <c r="G11" s="33"/>
    </row>
    <row r="12" spans="1:7" ht="15.75">
      <c r="A12" s="25" t="s">
        <v>1</v>
      </c>
      <c r="B12" s="34">
        <v>3</v>
      </c>
      <c r="C12" s="34">
        <v>0</v>
      </c>
      <c r="D12" s="34">
        <v>0</v>
      </c>
      <c r="E12" s="34">
        <v>0</v>
      </c>
      <c r="F12" s="34">
        <v>0</v>
      </c>
      <c r="G12" s="33"/>
    </row>
    <row r="13" spans="1:7" ht="15.75">
      <c r="A13" s="25" t="s">
        <v>2</v>
      </c>
      <c r="B13" s="34">
        <v>3.5</v>
      </c>
      <c r="C13" s="34">
        <v>1.2</v>
      </c>
      <c r="D13" s="34">
        <v>1</v>
      </c>
      <c r="E13" s="34">
        <v>0</v>
      </c>
      <c r="F13" s="34">
        <v>0</v>
      </c>
      <c r="G13" s="33"/>
    </row>
    <row r="14" spans="1:7" ht="15.75">
      <c r="A14" s="25" t="s">
        <v>3</v>
      </c>
      <c r="B14" s="34">
        <v>3</v>
      </c>
      <c r="C14" s="34">
        <v>1</v>
      </c>
      <c r="D14" s="34">
        <v>2.1</v>
      </c>
      <c r="E14" s="34">
        <v>2</v>
      </c>
      <c r="F14" s="34">
        <v>1.2</v>
      </c>
      <c r="G14" s="33"/>
    </row>
    <row r="16" spans="1:7" ht="21">
      <c r="A16" s="54" t="s">
        <v>11</v>
      </c>
      <c r="B16" s="54"/>
      <c r="C16" s="54"/>
      <c r="D16" s="21" t="s">
        <v>9</v>
      </c>
      <c r="E16" s="21">
        <f>SUM(G18:G20)</f>
        <v>0</v>
      </c>
      <c r="F16" s="21" t="s">
        <v>10</v>
      </c>
      <c r="G16" s="21">
        <f>B7*E16</f>
        <v>0</v>
      </c>
    </row>
    <row r="17" spans="1:7">
      <c r="B17" s="31" t="s">
        <v>4</v>
      </c>
      <c r="C17" s="31" t="s">
        <v>5</v>
      </c>
      <c r="D17" s="31" t="s">
        <v>6</v>
      </c>
      <c r="E17" s="31" t="s">
        <v>8</v>
      </c>
      <c r="F17" s="31" t="s">
        <v>7</v>
      </c>
      <c r="G17" s="31" t="s">
        <v>9</v>
      </c>
    </row>
    <row r="18" spans="1:7" ht="15.75">
      <c r="A18" s="25" t="s">
        <v>0</v>
      </c>
      <c r="B18" s="32">
        <v>1.4</v>
      </c>
      <c r="C18" s="32">
        <v>0.8</v>
      </c>
      <c r="D18" s="32">
        <v>2.1</v>
      </c>
      <c r="E18" s="32">
        <v>0</v>
      </c>
      <c r="F18" s="32">
        <v>0</v>
      </c>
      <c r="G18" s="33"/>
    </row>
    <row r="19" spans="1:7" ht="15.75">
      <c r="A19" s="25" t="s">
        <v>1</v>
      </c>
      <c r="B19" s="32">
        <v>3</v>
      </c>
      <c r="C19" s="32">
        <v>0</v>
      </c>
      <c r="D19" s="32">
        <v>0</v>
      </c>
      <c r="E19" s="32">
        <v>0</v>
      </c>
      <c r="F19" s="32">
        <v>0</v>
      </c>
      <c r="G19" s="33"/>
    </row>
    <row r="20" spans="1:7" ht="15.75">
      <c r="A20" s="30" t="s">
        <v>2</v>
      </c>
      <c r="B20" s="32">
        <v>1.4</v>
      </c>
      <c r="C20" s="32">
        <v>0.6</v>
      </c>
      <c r="D20" s="32">
        <v>0.6</v>
      </c>
      <c r="E20" s="32">
        <v>0</v>
      </c>
      <c r="F20" s="32">
        <v>0</v>
      </c>
      <c r="G20" s="33"/>
    </row>
    <row r="22" spans="1:7" ht="21">
      <c r="A22" s="54" t="s">
        <v>12</v>
      </c>
      <c r="B22" s="54"/>
      <c r="C22" s="54"/>
      <c r="D22" s="21" t="s">
        <v>9</v>
      </c>
      <c r="E22" s="21">
        <f>SUM(G24:G27)</f>
        <v>0</v>
      </c>
      <c r="F22" s="21" t="s">
        <v>10</v>
      </c>
      <c r="G22" s="21">
        <f>B7*E22</f>
        <v>0</v>
      </c>
    </row>
    <row r="23" spans="1:7">
      <c r="B23" s="31" t="s">
        <v>4</v>
      </c>
      <c r="C23" s="31" t="s">
        <v>5</v>
      </c>
      <c r="D23" s="31" t="s">
        <v>6</v>
      </c>
      <c r="E23" s="31" t="s">
        <v>8</v>
      </c>
      <c r="F23" s="31" t="s">
        <v>7</v>
      </c>
      <c r="G23" s="31" t="s">
        <v>9</v>
      </c>
    </row>
    <row r="24" spans="1:7" ht="15.75">
      <c r="A24" s="25" t="s">
        <v>0</v>
      </c>
      <c r="B24" s="32">
        <v>0</v>
      </c>
      <c r="C24" s="32">
        <v>0</v>
      </c>
      <c r="D24" s="32">
        <v>0</v>
      </c>
      <c r="E24" s="32">
        <v>0</v>
      </c>
      <c r="F24" s="32">
        <v>0</v>
      </c>
      <c r="G24" s="33"/>
    </row>
    <row r="25" spans="1:7" ht="15.75">
      <c r="A25" s="25" t="s">
        <v>1</v>
      </c>
      <c r="B25" s="32">
        <v>3</v>
      </c>
      <c r="C25" s="32">
        <v>0</v>
      </c>
      <c r="D25" s="32">
        <v>0</v>
      </c>
      <c r="E25" s="32">
        <v>0</v>
      </c>
      <c r="F25" s="32">
        <v>0</v>
      </c>
      <c r="G25" s="33"/>
    </row>
    <row r="26" spans="1:7" ht="15.75">
      <c r="A26" s="25" t="s">
        <v>2</v>
      </c>
      <c r="B26" s="32">
        <v>2.8</v>
      </c>
      <c r="C26" s="32">
        <v>0.8</v>
      </c>
      <c r="D26" s="32">
        <v>2.1</v>
      </c>
      <c r="E26" s="32">
        <v>0</v>
      </c>
      <c r="F26" s="32">
        <v>0</v>
      </c>
      <c r="G26" s="33"/>
    </row>
    <row r="27" spans="1:7" ht="15.75">
      <c r="A27" s="25" t="s">
        <v>3</v>
      </c>
      <c r="B27" s="32">
        <v>2.8</v>
      </c>
      <c r="C27" s="32">
        <v>2</v>
      </c>
      <c r="D27" s="32">
        <v>1.5</v>
      </c>
      <c r="E27" s="32">
        <v>0</v>
      </c>
      <c r="F27" s="32">
        <v>0</v>
      </c>
      <c r="G27" s="33"/>
    </row>
    <row r="29" spans="1:7" ht="21">
      <c r="A29" s="54" t="s">
        <v>13</v>
      </c>
      <c r="B29" s="54"/>
      <c r="C29" s="54"/>
      <c r="D29" s="21" t="s">
        <v>9</v>
      </c>
      <c r="E29" s="21">
        <f>SUM(G31:G34)</f>
        <v>0</v>
      </c>
      <c r="F29" s="21" t="s">
        <v>10</v>
      </c>
      <c r="G29" s="21">
        <f>B7*E29</f>
        <v>0</v>
      </c>
    </row>
    <row r="30" spans="1:7">
      <c r="B30" s="31" t="s">
        <v>4</v>
      </c>
      <c r="C30" s="31" t="s">
        <v>5</v>
      </c>
      <c r="D30" s="31" t="s">
        <v>6</v>
      </c>
      <c r="E30" s="31" t="s">
        <v>8</v>
      </c>
      <c r="F30" s="31" t="s">
        <v>7</v>
      </c>
      <c r="G30" s="31" t="s">
        <v>9</v>
      </c>
    </row>
    <row r="31" spans="1:7" ht="15.75">
      <c r="A31" s="25" t="s">
        <v>0</v>
      </c>
      <c r="B31" s="32">
        <v>0</v>
      </c>
      <c r="C31" s="32">
        <v>0</v>
      </c>
      <c r="D31" s="32">
        <v>0</v>
      </c>
      <c r="E31" s="32">
        <v>0</v>
      </c>
      <c r="F31" s="32">
        <v>0</v>
      </c>
      <c r="G31" s="33"/>
    </row>
    <row r="32" spans="1:7" ht="15.75">
      <c r="A32" s="25" t="s">
        <v>1</v>
      </c>
      <c r="B32" s="32">
        <v>3</v>
      </c>
      <c r="C32" s="32">
        <v>0</v>
      </c>
      <c r="D32" s="32">
        <v>0</v>
      </c>
      <c r="E32" s="32">
        <v>0</v>
      </c>
      <c r="F32" s="32">
        <v>0</v>
      </c>
      <c r="G32" s="33"/>
    </row>
    <row r="33" spans="1:7" ht="15.75">
      <c r="A33" s="25" t="s">
        <v>2</v>
      </c>
      <c r="B33" s="32">
        <v>2.8</v>
      </c>
      <c r="C33" s="32">
        <v>0.8</v>
      </c>
      <c r="D33" s="32">
        <v>2.1</v>
      </c>
      <c r="E33" s="32">
        <v>0</v>
      </c>
      <c r="F33" s="32">
        <v>0</v>
      </c>
      <c r="G33" s="33"/>
    </row>
    <row r="34" spans="1:7" ht="15.75">
      <c r="A34" s="25" t="s">
        <v>3</v>
      </c>
      <c r="B34" s="32">
        <v>2.8</v>
      </c>
      <c r="C34" s="32">
        <v>2</v>
      </c>
      <c r="D34" s="32">
        <v>1.5</v>
      </c>
      <c r="E34" s="32">
        <v>0</v>
      </c>
      <c r="F34" s="32">
        <v>0</v>
      </c>
      <c r="G34" s="33"/>
    </row>
    <row r="36" spans="1:7" ht="21">
      <c r="A36" s="54" t="s">
        <v>14</v>
      </c>
      <c r="B36" s="54"/>
      <c r="C36" s="54"/>
      <c r="D36" s="21" t="s">
        <v>9</v>
      </c>
      <c r="E36" s="21">
        <f>SUM(G38:G41)</f>
        <v>0</v>
      </c>
      <c r="F36" s="21" t="s">
        <v>10</v>
      </c>
      <c r="G36" s="21">
        <f>B7*E36</f>
        <v>0</v>
      </c>
    </row>
    <row r="37" spans="1:7">
      <c r="B37" s="31" t="s">
        <v>4</v>
      </c>
      <c r="C37" s="31" t="s">
        <v>5</v>
      </c>
      <c r="D37" s="31" t="s">
        <v>6</v>
      </c>
      <c r="E37" s="31" t="s">
        <v>8</v>
      </c>
      <c r="F37" s="31" t="s">
        <v>7</v>
      </c>
      <c r="G37" s="31" t="s">
        <v>9</v>
      </c>
    </row>
    <row r="38" spans="1:7" ht="15.75">
      <c r="A38" s="25" t="s">
        <v>0</v>
      </c>
      <c r="B38" s="32">
        <v>1.5</v>
      </c>
      <c r="C38" s="32">
        <v>1</v>
      </c>
      <c r="D38" s="32">
        <v>1.5</v>
      </c>
      <c r="E38" s="32">
        <v>0</v>
      </c>
      <c r="F38" s="32">
        <v>0</v>
      </c>
      <c r="G38" s="33"/>
    </row>
    <row r="39" spans="1:7" ht="15.75">
      <c r="A39" s="25" t="s">
        <v>1</v>
      </c>
      <c r="B39" s="32">
        <v>2.8</v>
      </c>
      <c r="C39" s="32">
        <v>0.8</v>
      </c>
      <c r="D39" s="32">
        <v>2.1</v>
      </c>
      <c r="E39" s="32">
        <v>0</v>
      </c>
      <c r="F39" s="32">
        <v>0</v>
      </c>
      <c r="G39" s="33"/>
    </row>
    <row r="40" spans="1:7" ht="15.75">
      <c r="A40" s="25" t="s">
        <v>2</v>
      </c>
      <c r="B40" s="32">
        <v>2.8</v>
      </c>
      <c r="C40" s="32">
        <v>0</v>
      </c>
      <c r="D40" s="32">
        <v>0</v>
      </c>
      <c r="E40" s="32">
        <v>0</v>
      </c>
      <c r="F40" s="32">
        <v>0</v>
      </c>
      <c r="G40" s="33"/>
    </row>
    <row r="41" spans="1:7" ht="15.75">
      <c r="A41" s="25" t="s">
        <v>3</v>
      </c>
      <c r="B41" s="32">
        <v>4.5</v>
      </c>
      <c r="C41" s="32">
        <v>1</v>
      </c>
      <c r="D41" s="32">
        <v>2.1</v>
      </c>
      <c r="E41" s="32">
        <v>0.8</v>
      </c>
      <c r="F41" s="32">
        <v>2.1</v>
      </c>
      <c r="G41" s="33"/>
    </row>
    <row r="43" spans="1:7" ht="21">
      <c r="A43" s="54" t="s">
        <v>71</v>
      </c>
      <c r="B43" s="54"/>
      <c r="C43" s="54"/>
      <c r="D43" s="21" t="s">
        <v>9</v>
      </c>
      <c r="E43" s="21">
        <f>SUM((G45:G48))</f>
        <v>0</v>
      </c>
      <c r="F43" s="21" t="s">
        <v>10</v>
      </c>
      <c r="G43" s="21">
        <f>B7*E43</f>
        <v>0</v>
      </c>
    </row>
    <row r="44" spans="1:7">
      <c r="B44" s="31" t="s">
        <v>4</v>
      </c>
      <c r="C44" s="31" t="s">
        <v>5</v>
      </c>
      <c r="D44" s="31" t="s">
        <v>6</v>
      </c>
      <c r="E44" s="31" t="s">
        <v>8</v>
      </c>
      <c r="F44" s="31" t="s">
        <v>7</v>
      </c>
      <c r="G44" s="31" t="s">
        <v>9</v>
      </c>
    </row>
    <row r="45" spans="1:7" ht="15.75">
      <c r="A45" s="25" t="s">
        <v>0</v>
      </c>
      <c r="B45" s="32">
        <v>1.3</v>
      </c>
      <c r="C45" s="32">
        <v>0.8</v>
      </c>
      <c r="D45" s="32">
        <v>2.1</v>
      </c>
      <c r="E45" s="32">
        <v>0</v>
      </c>
      <c r="F45" s="32">
        <v>0</v>
      </c>
      <c r="G45" s="33"/>
    </row>
    <row r="46" spans="1:7" ht="15.75">
      <c r="A46" s="25" t="s">
        <v>1</v>
      </c>
      <c r="B46" s="32">
        <v>3</v>
      </c>
      <c r="C46" s="32">
        <v>0.8</v>
      </c>
      <c r="D46" s="32">
        <v>2.1</v>
      </c>
      <c r="E46" s="32">
        <v>0</v>
      </c>
      <c r="F46" s="32">
        <v>0</v>
      </c>
      <c r="G46" s="33"/>
    </row>
    <row r="47" spans="1:7" ht="15.75">
      <c r="A47" s="25" t="s">
        <v>2</v>
      </c>
      <c r="B47" s="32">
        <v>1.3</v>
      </c>
      <c r="C47" s="32">
        <v>0</v>
      </c>
      <c r="D47" s="32">
        <v>0</v>
      </c>
      <c r="E47" s="32">
        <v>0</v>
      </c>
      <c r="F47" s="32">
        <v>0</v>
      </c>
      <c r="G47" s="33"/>
    </row>
    <row r="48" spans="1:7" ht="15.75">
      <c r="A48" s="25" t="s">
        <v>3</v>
      </c>
      <c r="B48" s="32">
        <v>0</v>
      </c>
      <c r="C48" s="32">
        <v>0</v>
      </c>
      <c r="D48" s="32">
        <v>0</v>
      </c>
      <c r="E48" s="32">
        <v>0</v>
      </c>
      <c r="F48" s="32">
        <v>0</v>
      </c>
      <c r="G48" s="33"/>
    </row>
    <row r="50" spans="1:7" ht="21">
      <c r="A50" s="54" t="s">
        <v>11</v>
      </c>
      <c r="B50" s="54"/>
      <c r="C50" s="54"/>
      <c r="D50" s="21" t="s">
        <v>9</v>
      </c>
      <c r="E50" s="21">
        <f>SUM(G52:G55)</f>
        <v>0</v>
      </c>
      <c r="F50" s="21" t="s">
        <v>10</v>
      </c>
      <c r="G50" s="21">
        <f>B7*E50</f>
        <v>0</v>
      </c>
    </row>
    <row r="51" spans="1:7">
      <c r="B51" s="31" t="s">
        <v>4</v>
      </c>
      <c r="C51" s="31" t="s">
        <v>5</v>
      </c>
      <c r="D51" s="31" t="s">
        <v>6</v>
      </c>
      <c r="E51" s="31" t="s">
        <v>8</v>
      </c>
      <c r="F51" s="31" t="s">
        <v>7</v>
      </c>
      <c r="G51" s="31" t="s">
        <v>9</v>
      </c>
    </row>
    <row r="52" spans="1:7" ht="15.75">
      <c r="A52" s="25" t="s">
        <v>0</v>
      </c>
      <c r="B52" s="32">
        <v>1.6</v>
      </c>
      <c r="C52" s="32">
        <v>0</v>
      </c>
      <c r="D52" s="32">
        <v>0</v>
      </c>
      <c r="E52" s="32">
        <v>0</v>
      </c>
      <c r="F52" s="32">
        <v>0</v>
      </c>
      <c r="G52" s="33"/>
    </row>
    <row r="53" spans="1:7" ht="15.75">
      <c r="A53" s="25" t="s">
        <v>1</v>
      </c>
      <c r="B53" s="32">
        <v>3</v>
      </c>
      <c r="C53" s="32">
        <v>0</v>
      </c>
      <c r="D53" s="32">
        <v>0</v>
      </c>
      <c r="E53" s="32">
        <v>0</v>
      </c>
      <c r="F53" s="32">
        <v>0</v>
      </c>
      <c r="G53" s="33"/>
    </row>
    <row r="54" spans="1:7" ht="15.75">
      <c r="A54" s="25" t="s">
        <v>2</v>
      </c>
      <c r="B54" s="32">
        <v>1.6</v>
      </c>
      <c r="C54" s="32">
        <v>1</v>
      </c>
      <c r="D54" s="32">
        <v>0.6</v>
      </c>
      <c r="E54" s="32">
        <v>0</v>
      </c>
      <c r="F54" s="32">
        <v>0</v>
      </c>
      <c r="G54" s="33"/>
    </row>
    <row r="55" spans="1:7" ht="15.75">
      <c r="A55" s="25" t="s">
        <v>3</v>
      </c>
      <c r="B55" s="32">
        <v>0</v>
      </c>
      <c r="C55" s="32">
        <v>0</v>
      </c>
      <c r="D55" s="32">
        <v>0</v>
      </c>
      <c r="E55" s="32">
        <v>0</v>
      </c>
      <c r="F55" s="32">
        <v>0</v>
      </c>
      <c r="G55" s="33"/>
    </row>
    <row r="57" spans="1:7" ht="21">
      <c r="A57" s="54" t="s">
        <v>15</v>
      </c>
      <c r="B57" s="54"/>
      <c r="C57" s="54"/>
      <c r="D57" s="21" t="s">
        <v>9</v>
      </c>
      <c r="E57" s="21">
        <f>SUM(G59:G62)</f>
        <v>0</v>
      </c>
      <c r="F57" s="21" t="s">
        <v>10</v>
      </c>
      <c r="G57" s="21">
        <f>B7*E57</f>
        <v>0</v>
      </c>
    </row>
    <row r="58" spans="1:7">
      <c r="B58" s="31" t="s">
        <v>4</v>
      </c>
      <c r="C58" s="31" t="s">
        <v>5</v>
      </c>
      <c r="D58" s="31" t="s">
        <v>6</v>
      </c>
      <c r="E58" s="31" t="s">
        <v>8</v>
      </c>
      <c r="F58" s="31" t="s">
        <v>7</v>
      </c>
      <c r="G58" s="31" t="s">
        <v>9</v>
      </c>
    </row>
    <row r="59" spans="1:7" ht="15.75">
      <c r="A59" s="25" t="s">
        <v>0</v>
      </c>
      <c r="B59" s="32">
        <v>3.95</v>
      </c>
      <c r="C59" s="32">
        <v>1</v>
      </c>
      <c r="D59" s="32">
        <v>2.1</v>
      </c>
      <c r="E59" s="32">
        <v>0</v>
      </c>
      <c r="F59" s="32">
        <v>0</v>
      </c>
      <c r="G59" s="33"/>
    </row>
    <row r="60" spans="1:7" ht="15.75">
      <c r="A60" s="25" t="s">
        <v>1</v>
      </c>
      <c r="B60" s="32">
        <v>3.95</v>
      </c>
      <c r="C60" s="32">
        <v>3</v>
      </c>
      <c r="D60" s="32">
        <v>2.1</v>
      </c>
      <c r="E60" s="32">
        <v>0</v>
      </c>
      <c r="F60" s="32">
        <v>0</v>
      </c>
      <c r="G60" s="33"/>
    </row>
    <row r="61" spans="1:7" ht="15.75">
      <c r="A61" s="25" t="s">
        <v>2</v>
      </c>
      <c r="B61" s="32">
        <v>7</v>
      </c>
      <c r="C61" s="32">
        <v>0</v>
      </c>
      <c r="D61" s="32">
        <v>0</v>
      </c>
      <c r="E61" s="32">
        <v>0</v>
      </c>
      <c r="F61" s="32">
        <v>0</v>
      </c>
      <c r="G61" s="33"/>
    </row>
    <row r="62" spans="1:7" ht="15.75">
      <c r="A62" s="25" t="s">
        <v>3</v>
      </c>
      <c r="B62" s="32">
        <v>5.5</v>
      </c>
      <c r="C62" s="32">
        <v>0</v>
      </c>
      <c r="D62" s="32">
        <v>0</v>
      </c>
      <c r="E62" s="32">
        <v>0</v>
      </c>
      <c r="F62" s="32">
        <v>0</v>
      </c>
      <c r="G62" s="33"/>
    </row>
    <row r="64" spans="1:7" ht="21">
      <c r="A64" s="54" t="s">
        <v>85</v>
      </c>
      <c r="B64" s="54"/>
      <c r="C64" s="54"/>
      <c r="D64" s="21" t="s">
        <v>9</v>
      </c>
      <c r="E64" s="21">
        <f>SUM(G66:G67)</f>
        <v>0</v>
      </c>
      <c r="F64" s="21" t="s">
        <v>10</v>
      </c>
      <c r="G64" s="21">
        <f>B7*E64</f>
        <v>0</v>
      </c>
    </row>
    <row r="65" spans="1:7">
      <c r="B65" s="31" t="s">
        <v>4</v>
      </c>
      <c r="C65" s="31" t="s">
        <v>5</v>
      </c>
      <c r="D65" s="31" t="s">
        <v>6</v>
      </c>
      <c r="E65" s="31" t="s">
        <v>8</v>
      </c>
      <c r="F65" s="31" t="s">
        <v>7</v>
      </c>
      <c r="G65" s="31" t="s">
        <v>9</v>
      </c>
    </row>
    <row r="66" spans="1:7" ht="15.75">
      <c r="A66" s="25" t="s">
        <v>0</v>
      </c>
      <c r="B66" s="32">
        <v>4.95</v>
      </c>
      <c r="C66" s="32">
        <v>1.5</v>
      </c>
      <c r="D66" s="32">
        <v>1.5</v>
      </c>
      <c r="E66" s="32">
        <v>1.5</v>
      </c>
      <c r="F66" s="32">
        <v>1.5</v>
      </c>
      <c r="G66" s="33"/>
    </row>
    <row r="67" spans="1:7" ht="15.75">
      <c r="A67" s="25" t="s">
        <v>1</v>
      </c>
      <c r="B67" s="32">
        <v>3</v>
      </c>
      <c r="C67" s="32">
        <v>1</v>
      </c>
      <c r="D67" s="32">
        <v>2.1</v>
      </c>
      <c r="E67" s="32">
        <v>0</v>
      </c>
      <c r="F67" s="32">
        <v>0</v>
      </c>
      <c r="G67" s="33"/>
    </row>
    <row r="68" spans="1:7" ht="15.75">
      <c r="A68" s="47" t="s">
        <v>2</v>
      </c>
      <c r="B68" s="32">
        <v>3</v>
      </c>
      <c r="C68" s="32">
        <v>0</v>
      </c>
      <c r="D68" s="32">
        <v>0</v>
      </c>
      <c r="E68" s="32">
        <v>0</v>
      </c>
      <c r="F68" s="32">
        <v>0</v>
      </c>
      <c r="G68" s="33"/>
    </row>
    <row r="70" spans="1:7" ht="21">
      <c r="A70" s="54" t="s">
        <v>16</v>
      </c>
      <c r="B70" s="54"/>
      <c r="C70" s="54"/>
      <c r="D70" s="21" t="s">
        <v>9</v>
      </c>
      <c r="E70" s="21">
        <f>SUM(G72:G74)</f>
        <v>0</v>
      </c>
      <c r="F70" s="21" t="s">
        <v>10</v>
      </c>
      <c r="G70" s="21">
        <f>B7*E70</f>
        <v>0</v>
      </c>
    </row>
    <row r="71" spans="1:7">
      <c r="B71" s="31" t="s">
        <v>4</v>
      </c>
      <c r="C71" s="31" t="s">
        <v>5</v>
      </c>
      <c r="D71" s="31" t="s">
        <v>6</v>
      </c>
      <c r="E71" s="31" t="s">
        <v>8</v>
      </c>
      <c r="F71" s="31" t="s">
        <v>7</v>
      </c>
      <c r="G71" s="31" t="s">
        <v>9</v>
      </c>
    </row>
    <row r="72" spans="1:7" ht="15.75">
      <c r="A72" s="25" t="s">
        <v>0</v>
      </c>
      <c r="B72" s="32">
        <v>3.95</v>
      </c>
      <c r="C72" s="32">
        <v>0</v>
      </c>
      <c r="D72" s="32">
        <v>0</v>
      </c>
      <c r="E72" s="32">
        <v>0</v>
      </c>
      <c r="F72" s="32">
        <v>0</v>
      </c>
      <c r="G72" s="33"/>
    </row>
    <row r="73" spans="1:7" ht="15.75">
      <c r="A73" s="25" t="s">
        <v>1</v>
      </c>
      <c r="B73" s="32">
        <v>1</v>
      </c>
      <c r="C73" s="32">
        <v>0</v>
      </c>
      <c r="D73" s="32">
        <v>0</v>
      </c>
      <c r="E73" s="32">
        <v>0</v>
      </c>
      <c r="F73" s="32">
        <v>0</v>
      </c>
      <c r="G73" s="33"/>
    </row>
    <row r="74" spans="1:7" ht="15.75">
      <c r="A74" s="25" t="s">
        <v>2</v>
      </c>
      <c r="B74" s="32">
        <v>0</v>
      </c>
      <c r="C74" s="32">
        <v>0</v>
      </c>
      <c r="D74" s="32">
        <v>0</v>
      </c>
      <c r="E74" s="32">
        <v>0</v>
      </c>
      <c r="F74" s="32">
        <v>0</v>
      </c>
      <c r="G74" s="33"/>
    </row>
    <row r="76" spans="1:7" ht="21">
      <c r="A76" s="54" t="s">
        <v>86</v>
      </c>
      <c r="B76" s="54"/>
      <c r="C76" s="54"/>
      <c r="D76" s="21" t="s">
        <v>9</v>
      </c>
      <c r="E76" s="21">
        <f>SUM(G78:G81)</f>
        <v>0</v>
      </c>
      <c r="F76" s="21" t="s">
        <v>10</v>
      </c>
      <c r="G76" s="21">
        <f>B13*E76</f>
        <v>0</v>
      </c>
    </row>
    <row r="77" spans="1:7">
      <c r="B77" s="31" t="s">
        <v>4</v>
      </c>
      <c r="C77" s="31" t="s">
        <v>5</v>
      </c>
      <c r="D77" s="31" t="s">
        <v>6</v>
      </c>
      <c r="E77" s="31" t="s">
        <v>8</v>
      </c>
      <c r="F77" s="31" t="s">
        <v>7</v>
      </c>
      <c r="G77" s="31" t="s">
        <v>9</v>
      </c>
    </row>
    <row r="78" spans="1:7" ht="15.75">
      <c r="A78" s="30" t="s">
        <v>0</v>
      </c>
      <c r="B78" s="32">
        <v>10</v>
      </c>
      <c r="C78" s="32">
        <v>0</v>
      </c>
      <c r="D78" s="32">
        <v>0</v>
      </c>
      <c r="E78" s="32">
        <v>0</v>
      </c>
      <c r="F78" s="32">
        <v>0</v>
      </c>
      <c r="G78" s="33"/>
    </row>
    <row r="79" spans="1:7" ht="15.75">
      <c r="A79" s="30" t="s">
        <v>1</v>
      </c>
      <c r="B79" s="32">
        <v>25</v>
      </c>
      <c r="C79" s="32">
        <v>0</v>
      </c>
      <c r="D79" s="32">
        <v>0</v>
      </c>
      <c r="E79" s="32">
        <v>0</v>
      </c>
      <c r="F79" s="32">
        <v>0</v>
      </c>
      <c r="G79" s="33"/>
    </row>
    <row r="80" spans="1:7" ht="15.75">
      <c r="A80" s="30" t="s">
        <v>2</v>
      </c>
      <c r="B80" s="32">
        <v>25</v>
      </c>
      <c r="C80" s="32">
        <v>0</v>
      </c>
      <c r="D80" s="32">
        <v>0</v>
      </c>
      <c r="E80" s="32">
        <v>0</v>
      </c>
      <c r="F80" s="32">
        <v>0</v>
      </c>
      <c r="G80" s="33"/>
    </row>
    <row r="81" spans="1:7" ht="15.75">
      <c r="A81" s="30" t="s">
        <v>3</v>
      </c>
      <c r="B81" s="32">
        <v>10</v>
      </c>
      <c r="C81" s="32">
        <v>6</v>
      </c>
      <c r="D81" s="32">
        <v>2.8</v>
      </c>
      <c r="E81" s="32">
        <v>0</v>
      </c>
      <c r="F81" s="32">
        <v>0</v>
      </c>
      <c r="G81" s="33"/>
    </row>
  </sheetData>
  <mergeCells count="13">
    <mergeCell ref="A2:B2"/>
    <mergeCell ref="A1:G1"/>
    <mergeCell ref="A43:C43"/>
    <mergeCell ref="A50:C50"/>
    <mergeCell ref="A9:C9"/>
    <mergeCell ref="A16:C16"/>
    <mergeCell ref="A76:C76"/>
    <mergeCell ref="A57:C57"/>
    <mergeCell ref="A64:C64"/>
    <mergeCell ref="A70:C70"/>
    <mergeCell ref="A22:C22"/>
    <mergeCell ref="A29:C29"/>
    <mergeCell ref="A36:C36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AE01-AE69-4874-8097-E23B60B5EBEB}">
  <sheetPr codeName="Planilha3"/>
  <dimension ref="A1:K22"/>
  <sheetViews>
    <sheetView zoomScaleNormal="100" workbookViewId="0">
      <selection activeCell="C3" sqref="C3"/>
    </sheetView>
  </sheetViews>
  <sheetFormatPr defaultRowHeight="15"/>
  <cols>
    <col min="1" max="1" width="47.28515625" customWidth="1"/>
    <col min="2" max="2" width="11.7109375" bestFit="1" customWidth="1"/>
    <col min="3" max="3" width="12.28515625" bestFit="1" customWidth="1"/>
    <col min="4" max="4" width="13.7109375" bestFit="1" customWidth="1"/>
    <col min="5" max="9" width="10.140625" bestFit="1" customWidth="1"/>
    <col min="10" max="10" width="20.5703125" bestFit="1" customWidth="1"/>
    <col min="11" max="11" width="10.7109375" bestFit="1" customWidth="1"/>
  </cols>
  <sheetData>
    <row r="1" spans="1:11" ht="18.75">
      <c r="A1" s="49" t="s">
        <v>17</v>
      </c>
      <c r="B1" s="49"/>
      <c r="C1" s="49"/>
      <c r="D1" s="49"/>
      <c r="E1" s="49"/>
      <c r="F1" s="49"/>
      <c r="G1" s="49"/>
      <c r="H1" s="49"/>
      <c r="I1" s="49"/>
    </row>
    <row r="2" spans="1:11">
      <c r="A2" s="2" t="s">
        <v>18</v>
      </c>
      <c r="B2" s="19" t="s">
        <v>88</v>
      </c>
      <c r="C2" s="5" t="s">
        <v>93</v>
      </c>
      <c r="D2" s="5" t="s">
        <v>112</v>
      </c>
      <c r="E2" s="7" t="s">
        <v>25</v>
      </c>
      <c r="F2" s="7" t="s">
        <v>49</v>
      </c>
      <c r="G2" s="7" t="s">
        <v>50</v>
      </c>
      <c r="H2" s="7" t="s">
        <v>51</v>
      </c>
      <c r="I2" s="7" t="s">
        <v>52</v>
      </c>
      <c r="J2" t="s">
        <v>91</v>
      </c>
      <c r="K2" t="s">
        <v>111</v>
      </c>
    </row>
    <row r="3" spans="1:11">
      <c r="A3" s="17" t="s">
        <v>87</v>
      </c>
      <c r="B3" s="4">
        <v>96.2</v>
      </c>
      <c r="C3" s="20">
        <v>1209.9000000000001</v>
      </c>
      <c r="D3" s="18">
        <v>1.5</v>
      </c>
      <c r="E3" s="18">
        <v>2.0299999999999998</v>
      </c>
      <c r="F3" s="18">
        <v>1</v>
      </c>
      <c r="G3" s="18">
        <v>23</v>
      </c>
      <c r="H3" s="18">
        <v>2</v>
      </c>
      <c r="I3" s="18">
        <v>2.2999999999999998</v>
      </c>
      <c r="J3" s="20" t="s">
        <v>85</v>
      </c>
      <c r="K3" s="20"/>
    </row>
    <row r="4" spans="1:11">
      <c r="A4" s="17" t="s">
        <v>92</v>
      </c>
      <c r="B4" s="4">
        <v>0</v>
      </c>
      <c r="C4" s="20">
        <v>38.9</v>
      </c>
      <c r="D4" s="18">
        <v>38.9</v>
      </c>
      <c r="E4" s="18">
        <v>10</v>
      </c>
      <c r="F4" s="18">
        <v>1.5</v>
      </c>
      <c r="G4" s="18">
        <v>1.3</v>
      </c>
      <c r="H4" s="18">
        <v>1.6</v>
      </c>
      <c r="I4" s="18">
        <v>10</v>
      </c>
      <c r="J4" s="20" t="s">
        <v>11</v>
      </c>
      <c r="K4" s="20"/>
    </row>
    <row r="5" spans="1:11">
      <c r="A5" s="17" t="s">
        <v>94</v>
      </c>
      <c r="B5" s="4">
        <v>0</v>
      </c>
      <c r="C5" s="20">
        <v>5.49</v>
      </c>
      <c r="D5" s="18">
        <v>5.49</v>
      </c>
      <c r="E5" s="18">
        <v>3.1</v>
      </c>
      <c r="F5" s="18">
        <v>3.3</v>
      </c>
      <c r="G5" s="18">
        <v>3.2</v>
      </c>
      <c r="H5" s="18">
        <v>3.25</v>
      </c>
      <c r="I5" s="18">
        <v>3</v>
      </c>
      <c r="J5" s="20" t="s">
        <v>11</v>
      </c>
      <c r="K5" s="20"/>
    </row>
    <row r="6" spans="1:11">
      <c r="A6" s="17" t="s">
        <v>95</v>
      </c>
      <c r="B6" s="4">
        <v>0</v>
      </c>
      <c r="C6" s="20">
        <v>72.900000000000006</v>
      </c>
      <c r="D6" s="18">
        <v>0.4</v>
      </c>
      <c r="E6" s="18">
        <v>0.35</v>
      </c>
      <c r="F6" s="18">
        <v>0.45</v>
      </c>
      <c r="G6" s="18">
        <v>0.4</v>
      </c>
      <c r="H6" s="18">
        <v>0.3</v>
      </c>
      <c r="I6" s="18">
        <v>0.2</v>
      </c>
      <c r="J6" s="20" t="s">
        <v>11</v>
      </c>
      <c r="K6" s="20"/>
    </row>
    <row r="7" spans="1:11">
      <c r="A7" s="17" t="s">
        <v>96</v>
      </c>
      <c r="B7" s="4">
        <v>0</v>
      </c>
      <c r="C7" s="20">
        <v>93.9</v>
      </c>
      <c r="D7" s="18">
        <v>0.95</v>
      </c>
      <c r="E7" s="18">
        <v>0.85</v>
      </c>
      <c r="F7" s="18">
        <v>0.8</v>
      </c>
      <c r="G7" s="18">
        <v>6</v>
      </c>
      <c r="H7" s="18">
        <v>0.6</v>
      </c>
      <c r="I7" s="18">
        <v>8</v>
      </c>
      <c r="J7" s="20" t="s">
        <v>11</v>
      </c>
      <c r="K7" s="20"/>
    </row>
    <row r="8" spans="1:11">
      <c r="A8" s="17" t="s">
        <v>97</v>
      </c>
      <c r="B8" s="4">
        <v>0</v>
      </c>
      <c r="C8" s="20">
        <v>171.9</v>
      </c>
      <c r="D8" s="18">
        <v>1</v>
      </c>
      <c r="E8" s="18">
        <v>3</v>
      </c>
      <c r="F8" s="18">
        <v>1.2</v>
      </c>
      <c r="G8" s="18">
        <v>1.3</v>
      </c>
      <c r="H8" s="18">
        <v>1.5</v>
      </c>
      <c r="I8" s="18">
        <v>1.23</v>
      </c>
      <c r="J8" s="20" t="s">
        <v>11</v>
      </c>
      <c r="K8" s="20"/>
    </row>
    <row r="9" spans="1:11">
      <c r="A9" s="17" t="s">
        <v>98</v>
      </c>
      <c r="B9" s="4">
        <v>0</v>
      </c>
      <c r="C9" s="20">
        <v>339.9</v>
      </c>
      <c r="D9" s="18">
        <v>276</v>
      </c>
      <c r="E9" s="18">
        <v>1.25</v>
      </c>
      <c r="F9" s="18">
        <v>1</v>
      </c>
      <c r="G9" s="18">
        <v>1.1000000000000001</v>
      </c>
      <c r="H9" s="18">
        <v>1.25</v>
      </c>
      <c r="I9" s="18">
        <v>1.3</v>
      </c>
      <c r="J9" s="20" t="s">
        <v>11</v>
      </c>
      <c r="K9" s="20">
        <v>16.079999999999998</v>
      </c>
    </row>
    <row r="10" spans="1:11">
      <c r="A10" s="17" t="s">
        <v>99</v>
      </c>
      <c r="B10" s="4">
        <v>0</v>
      </c>
      <c r="C10" s="20">
        <v>229.9</v>
      </c>
      <c r="D10" s="18">
        <v>8.5</v>
      </c>
      <c r="E10" s="18">
        <v>10</v>
      </c>
      <c r="F10" s="18">
        <v>20</v>
      </c>
      <c r="G10" s="18">
        <v>8.1999999999999993</v>
      </c>
      <c r="H10" s="18">
        <v>11</v>
      </c>
      <c r="I10" s="18">
        <v>8.4499999999999993</v>
      </c>
      <c r="J10" s="20" t="s">
        <v>11</v>
      </c>
      <c r="K10" s="20"/>
    </row>
    <row r="11" spans="1:11">
      <c r="A11" s="17" t="s">
        <v>100</v>
      </c>
      <c r="B11" s="4">
        <v>0</v>
      </c>
      <c r="C11" s="20">
        <v>226.9</v>
      </c>
      <c r="D11" s="18">
        <v>83.2</v>
      </c>
      <c r="E11" s="18">
        <v>83.9</v>
      </c>
      <c r="F11" s="18">
        <v>80</v>
      </c>
      <c r="G11" s="18">
        <v>81</v>
      </c>
      <c r="H11" s="18">
        <v>82</v>
      </c>
      <c r="I11" s="18">
        <v>150</v>
      </c>
      <c r="J11" s="20" t="s">
        <v>11</v>
      </c>
      <c r="K11" s="20"/>
    </row>
    <row r="12" spans="1:11">
      <c r="A12" s="17" t="s">
        <v>101</v>
      </c>
      <c r="B12" s="4">
        <v>0</v>
      </c>
      <c r="C12" s="20">
        <v>190.9</v>
      </c>
      <c r="D12" s="18">
        <v>1.1000000000000001</v>
      </c>
      <c r="E12" s="18">
        <v>10.5</v>
      </c>
      <c r="F12" s="18">
        <v>10</v>
      </c>
      <c r="G12" s="18">
        <v>10</v>
      </c>
      <c r="H12" s="18">
        <v>1.25</v>
      </c>
      <c r="I12" s="18">
        <v>20</v>
      </c>
      <c r="J12" s="20" t="s">
        <v>11</v>
      </c>
      <c r="K12" s="20"/>
    </row>
    <row r="13" spans="1:11">
      <c r="A13" s="17" t="s">
        <v>102</v>
      </c>
      <c r="B13" s="4">
        <v>0</v>
      </c>
      <c r="C13" s="20">
        <v>313.89999999999998</v>
      </c>
      <c r="D13" s="18">
        <v>28.5</v>
      </c>
      <c r="E13" s="18">
        <v>28.3</v>
      </c>
      <c r="F13" s="18">
        <v>25</v>
      </c>
      <c r="G13" s="18">
        <v>26.8</v>
      </c>
      <c r="H13" s="18">
        <v>27</v>
      </c>
      <c r="I13" s="18">
        <v>50</v>
      </c>
      <c r="J13" s="20" t="s">
        <v>11</v>
      </c>
      <c r="K13" s="20"/>
    </row>
    <row r="14" spans="1:11">
      <c r="A14" s="17" t="s">
        <v>103</v>
      </c>
      <c r="B14" s="4">
        <v>0</v>
      </c>
      <c r="C14" s="20">
        <v>114.9</v>
      </c>
      <c r="D14" s="18">
        <v>80</v>
      </c>
      <c r="E14" s="18">
        <v>46.5</v>
      </c>
      <c r="F14" s="18">
        <v>45</v>
      </c>
      <c r="G14" s="18">
        <v>46.3</v>
      </c>
      <c r="H14" s="18">
        <v>60</v>
      </c>
      <c r="I14" s="18">
        <v>49.9</v>
      </c>
      <c r="J14" s="20" t="s">
        <v>109</v>
      </c>
      <c r="K14" s="20"/>
    </row>
    <row r="15" spans="1:11">
      <c r="A15" s="17" t="s">
        <v>104</v>
      </c>
      <c r="B15" s="4">
        <v>0</v>
      </c>
      <c r="C15" s="20">
        <v>77.900000000000006</v>
      </c>
      <c r="D15" s="18">
        <v>120</v>
      </c>
      <c r="E15" s="18">
        <v>10</v>
      </c>
      <c r="F15" s="18">
        <v>200</v>
      </c>
      <c r="G15" s="18">
        <v>125</v>
      </c>
      <c r="H15" s="18">
        <v>120.3</v>
      </c>
      <c r="I15" s="18">
        <v>118</v>
      </c>
      <c r="J15" s="20" t="s">
        <v>109</v>
      </c>
      <c r="K15" s="20"/>
    </row>
    <row r="16" spans="1:11">
      <c r="A16" s="17" t="s">
        <v>105</v>
      </c>
      <c r="B16" s="4">
        <v>0</v>
      </c>
      <c r="C16" s="20">
        <v>92.9</v>
      </c>
      <c r="D16" s="18">
        <v>18</v>
      </c>
      <c r="E16" s="18">
        <v>18.5</v>
      </c>
      <c r="F16" s="18">
        <v>20</v>
      </c>
      <c r="G16" s="18">
        <v>18.3</v>
      </c>
      <c r="H16" s="18">
        <v>18.45</v>
      </c>
      <c r="I16" s="18">
        <v>17.989999999999998</v>
      </c>
      <c r="J16" s="20" t="s">
        <v>108</v>
      </c>
      <c r="K16" s="20"/>
    </row>
    <row r="17" spans="1:11">
      <c r="A17" s="17" t="s">
        <v>106</v>
      </c>
      <c r="B17" s="4">
        <v>0</v>
      </c>
      <c r="C17" s="20">
        <v>73.900000000000006</v>
      </c>
      <c r="D17" s="18">
        <v>123.2</v>
      </c>
      <c r="E17" s="18">
        <v>122</v>
      </c>
      <c r="F17" s="18">
        <v>120</v>
      </c>
      <c r="G17" s="18">
        <v>121</v>
      </c>
      <c r="H17" s="18">
        <v>120.3</v>
      </c>
      <c r="I17" s="18">
        <v>125</v>
      </c>
      <c r="J17" s="20" t="s">
        <v>108</v>
      </c>
      <c r="K17" s="20"/>
    </row>
    <row r="18" spans="1:11">
      <c r="A18" s="17" t="s">
        <v>107</v>
      </c>
      <c r="B18" s="4">
        <v>0</v>
      </c>
      <c r="C18" s="20">
        <v>48.9</v>
      </c>
      <c r="D18" s="18">
        <v>22</v>
      </c>
      <c r="E18" s="18">
        <v>30</v>
      </c>
      <c r="F18" s="18">
        <v>21.99</v>
      </c>
      <c r="G18" s="18">
        <v>21.9</v>
      </c>
      <c r="H18" s="18">
        <v>22.3</v>
      </c>
      <c r="I18" s="18">
        <v>22.5</v>
      </c>
      <c r="J18" s="20" t="s">
        <v>108</v>
      </c>
      <c r="K18" s="20"/>
    </row>
    <row r="19" spans="1:11">
      <c r="A19" s="17" t="s">
        <v>110</v>
      </c>
      <c r="B19" s="4">
        <v>0</v>
      </c>
      <c r="C19" s="20">
        <v>39.9</v>
      </c>
      <c r="D19" s="18">
        <v>0.5</v>
      </c>
      <c r="E19" s="18">
        <v>0.55000000000000004</v>
      </c>
      <c r="F19" s="18">
        <v>0.45</v>
      </c>
      <c r="G19" s="18">
        <v>3</v>
      </c>
      <c r="H19" s="18">
        <v>0.6</v>
      </c>
      <c r="I19" s="18">
        <v>0.75</v>
      </c>
      <c r="J19" s="20" t="s">
        <v>108</v>
      </c>
      <c r="K19" s="20"/>
    </row>
    <row r="20" spans="1:11">
      <c r="A20" s="17" t="s">
        <v>36</v>
      </c>
      <c r="B20" s="4">
        <v>1417.74</v>
      </c>
      <c r="C20" s="20">
        <v>0.45</v>
      </c>
      <c r="D20" s="18">
        <v>10</v>
      </c>
      <c r="E20" s="18">
        <v>0.6</v>
      </c>
      <c r="F20" s="18">
        <v>8</v>
      </c>
      <c r="G20" s="18">
        <v>0.56000000000000005</v>
      </c>
      <c r="H20" s="18">
        <v>0.57999999999999996</v>
      </c>
      <c r="I20" s="18">
        <v>0.56999999999999995</v>
      </c>
      <c r="J20" s="20"/>
      <c r="K20" s="20"/>
    </row>
    <row r="21" spans="1:11">
      <c r="A21" s="17" t="s">
        <v>37</v>
      </c>
      <c r="B21" s="4">
        <v>1500.56</v>
      </c>
      <c r="C21" s="20">
        <v>0.49</v>
      </c>
      <c r="D21" s="18">
        <v>5</v>
      </c>
      <c r="E21" s="18">
        <v>0.55000000000000004</v>
      </c>
      <c r="F21" s="18">
        <v>10</v>
      </c>
      <c r="G21" s="18">
        <v>0.3</v>
      </c>
      <c r="H21" s="18">
        <v>0.45</v>
      </c>
      <c r="I21" s="18">
        <v>0.65</v>
      </c>
      <c r="J21" s="20"/>
      <c r="K21" s="20"/>
    </row>
    <row r="22" spans="1:11">
      <c r="A22" s="17" t="s">
        <v>38</v>
      </c>
      <c r="B22" s="4">
        <v>1583.38</v>
      </c>
      <c r="C22" s="20">
        <v>1.29</v>
      </c>
      <c r="D22" s="18">
        <v>1</v>
      </c>
      <c r="E22" s="18">
        <v>1.2</v>
      </c>
      <c r="F22" s="18">
        <v>1.3</v>
      </c>
      <c r="G22" s="18">
        <v>10</v>
      </c>
      <c r="H22" s="18">
        <v>8</v>
      </c>
      <c r="I22" s="18">
        <v>1.4</v>
      </c>
      <c r="J22" s="20"/>
      <c r="K22" s="20"/>
    </row>
  </sheetData>
  <mergeCells count="1">
    <mergeCell ref="A1:I1"/>
  </mergeCells>
  <phoneticPr fontId="2" type="noConversion"/>
  <conditionalFormatting sqref="C3:I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E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K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K1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K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K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K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K9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K1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K1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K12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K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K1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K1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K1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K1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K1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K19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K2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K2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K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J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J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J5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B3:B33" xr:uid="{61A2B162-5C69-4CA8-BF82-5A0123CD4373}">
      <formula1>UnidadesMedidas</formula1>
    </dataValidation>
    <dataValidation type="list" allowBlank="1" showInputMessage="1" showErrorMessage="1" sqref="C2:I2" xr:uid="{2EFECA15-ADF3-4032-9DA8-6D45A37CE25E}">
      <formula1>Fornecedores</formula1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CEAAB-3D9E-4EC7-AEDD-2D6C49B1082E}">
  <sheetPr codeName="Planilha5"/>
  <dimension ref="A1:D5"/>
  <sheetViews>
    <sheetView workbookViewId="0">
      <selection activeCell="E6" sqref="E6"/>
    </sheetView>
  </sheetViews>
  <sheetFormatPr defaultRowHeight="15"/>
  <cols>
    <col min="1" max="1" width="11.28515625" bestFit="1" customWidth="1"/>
    <col min="2" max="2" width="15.42578125" customWidth="1"/>
    <col min="3" max="3" width="10.140625" bestFit="1" customWidth="1"/>
  </cols>
  <sheetData>
    <row r="1" spans="1:4" ht="18.75">
      <c r="A1" s="49" t="s">
        <v>58</v>
      </c>
      <c r="B1" s="49"/>
      <c r="C1" s="49"/>
      <c r="D1" s="49"/>
    </row>
    <row r="2" spans="1:4">
      <c r="A2" s="16" t="s">
        <v>18</v>
      </c>
      <c r="B2" s="16" t="s">
        <v>19</v>
      </c>
      <c r="C2" s="16" t="s">
        <v>63</v>
      </c>
      <c r="D2" t="s">
        <v>48</v>
      </c>
    </row>
    <row r="3" spans="1:4">
      <c r="A3" s="3" t="s">
        <v>59</v>
      </c>
      <c r="B3" t="s">
        <v>61</v>
      </c>
      <c r="C3" s="4">
        <v>370</v>
      </c>
      <c r="D3" t="s">
        <v>61</v>
      </c>
    </row>
    <row r="4" spans="1:4">
      <c r="A4" s="3" t="s">
        <v>60</v>
      </c>
      <c r="B4" t="s">
        <v>61</v>
      </c>
      <c r="C4" s="4">
        <v>350</v>
      </c>
      <c r="D4" t="s">
        <v>61</v>
      </c>
    </row>
    <row r="5" spans="1:4">
      <c r="A5" s="3" t="s">
        <v>62</v>
      </c>
      <c r="B5" t="s">
        <v>61</v>
      </c>
      <c r="C5" s="4">
        <v>400</v>
      </c>
      <c r="D5" t="s">
        <v>61</v>
      </c>
    </row>
  </sheetData>
  <mergeCells count="1">
    <mergeCell ref="A1:D1"/>
  </mergeCells>
  <phoneticPr fontId="2" type="noConversion"/>
  <conditionalFormatting sqref="C5 E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">
    <cfRule type="colorScale" priority="15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5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E3 D4:D5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 E4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C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B3:B5" xr:uid="{669E3E00-E35B-46DF-AD71-E90161FCC591}">
      <formula1>MedidasTrabalhador</formula1>
    </dataValidation>
    <dataValidation type="list" allowBlank="1" showInputMessage="1" showErrorMessage="1" sqref="A3:A5" xr:uid="{CB55CE2B-636D-46D8-AA61-E5FCBACC444E}">
      <formula1>Trabalhador</formula1>
    </dataValidation>
  </dataValidation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A20F-1455-4F78-9A4B-866F60B36CEC}">
  <sheetPr codeName="Planilha4"/>
  <dimension ref="A1:E15"/>
  <sheetViews>
    <sheetView zoomScaleNormal="100" workbookViewId="0">
      <selection activeCell="A3" sqref="A3"/>
    </sheetView>
  </sheetViews>
  <sheetFormatPr defaultRowHeight="15"/>
  <cols>
    <col min="1" max="1" width="33.28515625" bestFit="1" customWidth="1"/>
    <col min="2" max="2" width="27.5703125" customWidth="1"/>
    <col min="3" max="3" width="13.7109375" bestFit="1" customWidth="1"/>
    <col min="4" max="4" width="14.5703125" bestFit="1" customWidth="1"/>
    <col min="5" max="5" width="255.7109375" bestFit="1" customWidth="1"/>
  </cols>
  <sheetData>
    <row r="1" spans="1:5" ht="15" customHeight="1">
      <c r="A1" s="49" t="s">
        <v>20</v>
      </c>
      <c r="B1" s="49"/>
      <c r="C1" s="49"/>
      <c r="D1" s="49"/>
      <c r="E1" s="45"/>
    </row>
    <row r="2" spans="1:5">
      <c r="A2" t="s">
        <v>21</v>
      </c>
      <c r="B2" t="s">
        <v>22</v>
      </c>
      <c r="C2" t="s">
        <v>23</v>
      </c>
      <c r="D2" t="s">
        <v>24</v>
      </c>
      <c r="E2" t="s">
        <v>90</v>
      </c>
    </row>
    <row r="3" spans="1:5">
      <c r="A3" t="s">
        <v>112</v>
      </c>
      <c r="B3" t="s">
        <v>26</v>
      </c>
      <c r="C3" s="1">
        <v>1111111111</v>
      </c>
      <c r="D3" s="1">
        <v>2222222222</v>
      </c>
      <c r="E3" s="46"/>
    </row>
    <row r="4" spans="1:5">
      <c r="A4" t="s">
        <v>93</v>
      </c>
      <c r="B4" t="s">
        <v>27</v>
      </c>
      <c r="C4" s="1">
        <v>1111111111</v>
      </c>
      <c r="D4" s="1">
        <v>2222222222</v>
      </c>
    </row>
    <row r="5" spans="1:5">
      <c r="A5" t="s">
        <v>25</v>
      </c>
      <c r="B5" t="s">
        <v>28</v>
      </c>
      <c r="C5" s="1">
        <v>1111111111</v>
      </c>
      <c r="D5" s="1">
        <v>2222222222</v>
      </c>
    </row>
    <row r="6" spans="1:5">
      <c r="A6" t="s">
        <v>49</v>
      </c>
      <c r="C6" s="14"/>
      <c r="D6" s="1"/>
    </row>
    <row r="7" spans="1:5">
      <c r="A7" t="s">
        <v>50</v>
      </c>
      <c r="C7" s="14"/>
      <c r="D7" s="1"/>
    </row>
    <row r="8" spans="1:5">
      <c r="A8" t="s">
        <v>51</v>
      </c>
      <c r="C8" s="14"/>
      <c r="D8" s="1"/>
    </row>
    <row r="9" spans="1:5">
      <c r="A9" t="s">
        <v>52</v>
      </c>
      <c r="C9" s="14"/>
      <c r="D9" s="1"/>
    </row>
    <row r="11" spans="1:5" ht="18.75">
      <c r="A11" s="49" t="s">
        <v>58</v>
      </c>
      <c r="B11" s="49"/>
      <c r="C11" s="49"/>
      <c r="D11" s="49"/>
    </row>
    <row r="12" spans="1:5">
      <c r="A12" t="s">
        <v>21</v>
      </c>
      <c r="B12" t="s">
        <v>22</v>
      </c>
      <c r="C12" t="s">
        <v>23</v>
      </c>
      <c r="D12" t="s">
        <v>24</v>
      </c>
    </row>
    <row r="13" spans="1:5">
      <c r="A13" t="s">
        <v>59</v>
      </c>
      <c r="B13" t="s">
        <v>26</v>
      </c>
      <c r="C13" s="1">
        <v>1111111111</v>
      </c>
      <c r="D13" s="1">
        <v>2222222222</v>
      </c>
    </row>
    <row r="14" spans="1:5">
      <c r="A14" t="s">
        <v>60</v>
      </c>
      <c r="B14" t="s">
        <v>27</v>
      </c>
      <c r="C14" s="1">
        <v>1111111111</v>
      </c>
      <c r="D14" s="1">
        <v>2222222222</v>
      </c>
    </row>
    <row r="15" spans="1:5">
      <c r="A15" t="s">
        <v>62</v>
      </c>
      <c r="B15" t="s">
        <v>28</v>
      </c>
      <c r="C15" s="1">
        <v>1111111111</v>
      </c>
      <c r="D15" s="1">
        <v>2222222222</v>
      </c>
    </row>
  </sheetData>
  <mergeCells count="2">
    <mergeCell ref="A1:D1"/>
    <mergeCell ref="A11:D1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7</vt:i4>
      </vt:variant>
    </vt:vector>
  </HeadingPairs>
  <TitlesOfParts>
    <vt:vector size="12" baseType="lpstr">
      <vt:lpstr>Planejador</vt:lpstr>
      <vt:lpstr>Medidas</vt:lpstr>
      <vt:lpstr>Produtos</vt:lpstr>
      <vt:lpstr>Mão de Obra</vt:lpstr>
      <vt:lpstr>Fornecedores</vt:lpstr>
      <vt:lpstr>Fornecedores</vt:lpstr>
      <vt:lpstr>MedidasTrabalhador</vt:lpstr>
      <vt:lpstr>ProdutosNome</vt:lpstr>
      <vt:lpstr>Trabalhador</vt:lpstr>
      <vt:lpstr>VALOR__LOJA_1</vt:lpstr>
      <vt:lpstr>VALOR__LOJA_2</vt:lpstr>
      <vt:lpstr>VALOR__LOJA_3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Oliveira</dc:creator>
  <cp:lastModifiedBy>Leonardo</cp:lastModifiedBy>
  <cp:lastPrinted>2019-06-17T18:00:41Z</cp:lastPrinted>
  <dcterms:created xsi:type="dcterms:W3CDTF">2019-03-21T19:31:17Z</dcterms:created>
  <dcterms:modified xsi:type="dcterms:W3CDTF">2022-07-01T17:13:42Z</dcterms:modified>
</cp:coreProperties>
</file>