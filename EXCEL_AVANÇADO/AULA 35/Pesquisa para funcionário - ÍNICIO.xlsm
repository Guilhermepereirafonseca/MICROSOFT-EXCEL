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35\"/>
    </mc:Choice>
  </mc:AlternateContent>
  <xr:revisionPtr revIDLastSave="0" documentId="13_ncr:1_{661C89ED-B383-4294-AEF1-7E3C2D28B82B}" xr6:coauthVersionLast="47" xr6:coauthVersionMax="47" xr10:uidLastSave="{00000000-0000-0000-0000-000000000000}"/>
  <bookViews>
    <workbookView xWindow="1815" yWindow="1815" windowWidth="15375" windowHeight="7875" firstSheet="2" activeTab="3" xr2:uid="{1D1F8D7F-51C1-4B17-92FB-6DB65AB98DF6}"/>
  </bookViews>
  <sheets>
    <sheet name="Pesquisa" sheetId="1" r:id="rId1"/>
    <sheet name="Escolaridade" sheetId="2" r:id="rId2"/>
    <sheet name="Departamentos" sheetId="3" r:id="rId3"/>
    <sheet name="Result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9" i="1" l="1"/>
  <c r="K11" i="1"/>
  <c r="N3" i="1" l="1"/>
  <c r="F15" i="1" l="1"/>
  <c r="D4" i="4"/>
  <c r="E3" i="4"/>
  <c r="C3" i="4"/>
  <c r="A4" i="4"/>
  <c r="C4" i="4"/>
  <c r="D3" i="4"/>
  <c r="E4" i="4"/>
  <c r="A3" i="4"/>
  <c r="B4" i="4"/>
  <c r="B3" i="4"/>
</calcChain>
</file>

<file path=xl/sharedStrings.xml><?xml version="1.0" encoding="utf-8"?>
<sst xmlns="http://schemas.openxmlformats.org/spreadsheetml/2006/main" count="59" uniqueCount="52">
  <si>
    <t>Sexo:</t>
  </si>
  <si>
    <t>Estado Civil</t>
  </si>
  <si>
    <t>Sexo</t>
  </si>
  <si>
    <t>Estado Civil:</t>
  </si>
  <si>
    <t>Quais os meio utilizados para ver notícias</t>
  </si>
  <si>
    <t>Quais redes sociais que utiliza</t>
  </si>
  <si>
    <t>Notícias:</t>
  </si>
  <si>
    <t>Celular</t>
  </si>
  <si>
    <t>Televisão</t>
  </si>
  <si>
    <t>Computador</t>
  </si>
  <si>
    <t>Redes Sociais:</t>
  </si>
  <si>
    <t>Facebook</t>
  </si>
  <si>
    <t>Linkedin</t>
  </si>
  <si>
    <t>Instagram</t>
  </si>
  <si>
    <t>Twitter</t>
  </si>
  <si>
    <t>Pesquisa para Funcionário</t>
  </si>
  <si>
    <t>Escocalaridade:</t>
  </si>
  <si>
    <t>Escolaridade</t>
  </si>
  <si>
    <t>Fundamental Completo</t>
  </si>
  <si>
    <t>Fundamental Incompleto</t>
  </si>
  <si>
    <t>Médio Incompleto</t>
  </si>
  <si>
    <t>Médio Completo</t>
  </si>
  <si>
    <t>Superior Incompleto</t>
  </si>
  <si>
    <t>Superior Completo</t>
  </si>
  <si>
    <t>Departamento</t>
  </si>
  <si>
    <t>Administrativo</t>
  </si>
  <si>
    <t>Financeiro</t>
  </si>
  <si>
    <t>Comercial</t>
  </si>
  <si>
    <t>Operacional</t>
  </si>
  <si>
    <t>Departamentos</t>
  </si>
  <si>
    <t>Média Salarial</t>
  </si>
  <si>
    <t>Média Salarial:</t>
  </si>
  <si>
    <t>Idade</t>
  </si>
  <si>
    <t>Idade:</t>
  </si>
  <si>
    <t>Responda as questões abaixo com sinceridade</t>
  </si>
  <si>
    <t>Você gosta de trabalhar nessa empresa?</t>
  </si>
  <si>
    <t>Respostas</t>
  </si>
  <si>
    <t>Sua relação de trabalho com seus colegas é boa?</t>
  </si>
  <si>
    <t>Você gosta de seu ambiente de trabalho?</t>
  </si>
  <si>
    <t>Seu gerente te apoia em suas decisões?</t>
  </si>
  <si>
    <t>Está satisfeito com seu salário?</t>
  </si>
  <si>
    <t>Você teve oportunidade de crescimento na empresa</t>
  </si>
  <si>
    <t>Você tem conhecimento na missão e valores da empresa?</t>
  </si>
  <si>
    <t>Espectativa Salarial:</t>
  </si>
  <si>
    <t>Expectativa salarial daqui a 3 anos:</t>
  </si>
  <si>
    <t>Total</t>
  </si>
  <si>
    <t>Expectativa Salarial</t>
  </si>
  <si>
    <t>Questões</t>
  </si>
  <si>
    <t>Comentário</t>
  </si>
  <si>
    <t>Resultados</t>
  </si>
  <si>
    <t>cód</t>
  </si>
  <si>
    <t>Cód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</si>
</sst>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14">
    <font>
      <sz val="11"/>
      <color theme="1"/>
      <name val="Calibri"/>
      <family val="2"/>
      <scheme val="minor"/>
    </font>
    <font>
      <b/>
      <sz val="28"/>
      <color theme="1"/>
      <name val="Aller Display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28"/>
      <color theme="1"/>
      <name val="Berlin Sans FB Demi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61">
    <xf numFmtId="0" fontId="0" fillId="0" borderId="0" xfId="0"/>
    <xf numFmtId="0" fontId="0" fillId="3" borderId="0" xfId="0" applyFill="1"/>
    <xf numFmtId="0" fontId="0" fillId="0" borderId="0" xfId="0" applyAlignment="1"/>
    <xf numFmtId="0" fontId="2" fillId="5" borderId="4" xfId="0" applyFont="1" applyFill="1" applyBorder="1" applyAlignment="1">
      <alignment horizontal="center"/>
    </xf>
    <xf numFmtId="0" fontId="2" fillId="5" borderId="4" xfId="0" applyFont="1" applyFill="1" applyBorder="1"/>
    <xf numFmtId="0" fontId="0" fillId="5" borderId="4" xfId="0" applyFill="1" applyBorder="1" applyAlignment="1">
      <alignment horizontal="center"/>
    </xf>
    <xf numFmtId="0" fontId="3" fillId="4" borderId="4" xfId="0" applyFont="1" applyFill="1" applyBorder="1"/>
    <xf numFmtId="0" fontId="4" fillId="4" borderId="4" xfId="0" applyFont="1" applyFill="1" applyBorder="1"/>
    <xf numFmtId="0" fontId="3" fillId="4" borderId="4" xfId="0" applyFont="1" applyFill="1" applyBorder="1" applyAlignment="1">
      <alignment horizontal="center"/>
    </xf>
    <xf numFmtId="0" fontId="3" fillId="6" borderId="4" xfId="0" applyFont="1" applyFill="1" applyBorder="1"/>
    <xf numFmtId="0" fontId="4" fillId="6" borderId="4" xfId="0" applyFont="1" applyFill="1" applyBorder="1"/>
    <xf numFmtId="0" fontId="4" fillId="0" borderId="0" xfId="0" applyFont="1" applyFill="1"/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5" borderId="4" xfId="0" applyFill="1" applyBorder="1"/>
    <xf numFmtId="0" fontId="2" fillId="0" borderId="0" xfId="0" applyFont="1"/>
    <xf numFmtId="0" fontId="0" fillId="8" borderId="4" xfId="0" applyFill="1" applyBorder="1"/>
    <xf numFmtId="0" fontId="0" fillId="8" borderId="6" xfId="0" applyFill="1" applyBorder="1"/>
    <xf numFmtId="0" fontId="8" fillId="7" borderId="5" xfId="0" applyFont="1" applyFill="1" applyBorder="1" applyAlignment="1">
      <alignment horizontal="center"/>
    </xf>
    <xf numFmtId="0" fontId="0" fillId="10" borderId="4" xfId="0" applyFont="1" applyFill="1" applyBorder="1"/>
    <xf numFmtId="0" fontId="0" fillId="10" borderId="6" xfId="0" applyFont="1" applyFill="1" applyBorder="1"/>
    <xf numFmtId="0" fontId="0" fillId="10" borderId="7" xfId="0" applyFont="1" applyFill="1" applyBorder="1"/>
    <xf numFmtId="164" fontId="0" fillId="0" borderId="0" xfId="1" applyFont="1"/>
    <xf numFmtId="164" fontId="0" fillId="10" borderId="7" xfId="1" applyFont="1" applyFill="1" applyBorder="1"/>
    <xf numFmtId="164" fontId="0" fillId="10" borderId="4" xfId="1" applyFont="1" applyFill="1" applyBorder="1"/>
    <xf numFmtId="164" fontId="0" fillId="10" borderId="6" xfId="1" applyFont="1" applyFill="1" applyBorder="1"/>
    <xf numFmtId="0" fontId="2" fillId="0" borderId="0" xfId="0" applyFont="1" applyAlignment="1"/>
    <xf numFmtId="0" fontId="0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3" borderId="0" xfId="0" applyFill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vertical="center"/>
    </xf>
    <xf numFmtId="0" fontId="0" fillId="0" borderId="0" xfId="0" applyFill="1" applyAlignment="1"/>
    <xf numFmtId="0" fontId="0" fillId="0" borderId="0" xfId="0" applyAlignment="1">
      <alignment horizontal="center" vertical="top"/>
    </xf>
    <xf numFmtId="0" fontId="9" fillId="0" borderId="0" xfId="0" applyFont="1" applyAlignment="1">
      <alignment horizontal="center"/>
    </xf>
    <xf numFmtId="164" fontId="10" fillId="0" borderId="0" xfId="1" applyFont="1" applyAlignment="1">
      <alignment vertical="center"/>
    </xf>
    <xf numFmtId="0" fontId="2" fillId="7" borderId="4" xfId="0" applyFont="1" applyFill="1" applyBorder="1"/>
    <xf numFmtId="0" fontId="0" fillId="7" borderId="4" xfId="0" applyFill="1" applyBorder="1"/>
    <xf numFmtId="0" fontId="7" fillId="0" borderId="0" xfId="0" applyFont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1" fillId="0" borderId="4" xfId="0" applyFont="1" applyBorder="1" applyAlignment="1">
      <alignment horizontal="center"/>
    </xf>
    <xf numFmtId="0" fontId="7" fillId="12" borderId="4" xfId="0" applyFont="1" applyFill="1" applyBorder="1" applyAlignment="1">
      <alignment horizontal="center"/>
    </xf>
    <xf numFmtId="0" fontId="0" fillId="8" borderId="7" xfId="0" applyFill="1" applyBorder="1"/>
    <xf numFmtId="0" fontId="8" fillId="7" borderId="0" xfId="0" applyFont="1" applyFill="1" applyAlignment="1">
      <alignment horizontal="center"/>
    </xf>
    <xf numFmtId="0" fontId="0" fillId="0" borderId="0" xfId="0" applyNumberFormat="1"/>
    <xf numFmtId="0" fontId="7" fillId="0" borderId="8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0" fillId="0" borderId="9" xfId="0" applyBorder="1"/>
    <xf numFmtId="0" fontId="0" fillId="10" borderId="7" xfId="1" applyNumberFormat="1" applyFont="1" applyFill="1" applyBorder="1"/>
    <xf numFmtId="0" fontId="2" fillId="0" borderId="10" xfId="0" applyFont="1" applyBorder="1" applyAlignment="1">
      <alignment horizontal="center"/>
    </xf>
    <xf numFmtId="0" fontId="0" fillId="0" borderId="0" xfId="1" applyNumberFormat="1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/>
        </top>
      </border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92D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J$3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K$3" lockText="1"/>
</file>

<file path=xl/ctrlProps/ctrlProp6.xml><?xml version="1.0" encoding="utf-8"?>
<formControlPr xmlns="http://schemas.microsoft.com/office/spreadsheetml/2009/9/main" objectType="Radio" checked="Checked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CheckBox" fmlaLink="$K$6" lockText="1"/>
</file>

<file path=xl/ctrlProps/ctrlProp10.xml><?xml version="1.0" encoding="utf-8"?>
<formControlPr xmlns="http://schemas.microsoft.com/office/spreadsheetml/2009/9/main" objectType="CheckBox" fmlaLink="$L$6" lockText="1"/>
</file>

<file path=xl/ctrlProps/ctrlProp11.xml><?xml version="1.0" encoding="utf-8"?>
<formControlPr xmlns="http://schemas.microsoft.com/office/spreadsheetml/2009/9/main" objectType="CheckBox" fmlaLink="$M$6" lockText="1"/>
</file>

<file path=xl/ctrlProps/ctrlProp12.xml><?xml version="1.0" encoding="utf-8"?>
<formControlPr xmlns="http://schemas.microsoft.com/office/spreadsheetml/2009/9/main" objectType="CheckBox" checked="Checked" fmlaLink="$K$9" lockText="1"/>
</file>

<file path=xl/ctrlProps/ctrlProp13.xml><?xml version="1.0" encoding="utf-8"?>
<formControlPr xmlns="http://schemas.microsoft.com/office/spreadsheetml/2009/9/main" objectType="CheckBox" checked="Checked" fmlaLink="$M$9" lockText="1"/>
</file>

<file path=xl/ctrlProps/ctrlProp14.xml><?xml version="1.0" encoding="utf-8"?>
<formControlPr xmlns="http://schemas.microsoft.com/office/spreadsheetml/2009/9/main" objectType="CheckBox" checked="Checked" fmlaLink="$L$9" lockText="1"/>
</file>

<file path=xl/ctrlProps/ctrlProp15.xml><?xml version="1.0" encoding="utf-8"?>
<formControlPr xmlns="http://schemas.microsoft.com/office/spreadsheetml/2009/9/main" objectType="CheckBox" checked="Checked" fmlaLink="$N$9" lockText="1"/>
</file>

<file path=xl/ctrlProps/ctrlProp16.xml><?xml version="1.0" encoding="utf-8"?>
<formControlPr xmlns="http://schemas.microsoft.com/office/spreadsheetml/2009/9/main" objectType="List" dx="22" fmlaLink="$L$3" fmlaRange="Escolaridade!$A$2:$A$7" sel="3" val="0"/>
</file>

<file path=xl/ctrlProps/ctrlProp17.xml><?xml version="1.0" encoding="utf-8"?>
<formControlPr xmlns="http://schemas.microsoft.com/office/spreadsheetml/2009/9/main" objectType="Drop" dropStyle="combo" dx="22" fmlaLink="$M$3" fmlaRange="Departamentos!$A$2:$A$5" sel="2" val="0"/>
</file>

<file path=xl/ctrlProps/ctrlProp18.xml><?xml version="1.0" encoding="utf-8"?>
<formControlPr xmlns="http://schemas.microsoft.com/office/spreadsheetml/2009/9/main" objectType="Spin" dx="22" fmlaLink="$F$3" max="30000" min="18" page="10" val="31"/>
</file>

<file path=xl/ctrlProps/ctrlProp19.xml><?xml version="1.0" encoding="utf-8"?>
<formControlPr xmlns="http://schemas.microsoft.com/office/spreadsheetml/2009/9/main" objectType="Scroll" dx="22" fmlaLink="$D$18" horiz="1" inc="100" max="7000" min="2000" page="200" val="2780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checked="Checked" firstButton="1" fmlaLink="$E$25" lockText="1"/>
</file>

<file path=xl/ctrlProps/ctrlProp22.xml><?xml version="1.0" encoding="utf-8"?>
<formControlPr xmlns="http://schemas.microsoft.com/office/spreadsheetml/2009/9/main" objectType="Radio" lockText="1"/>
</file>

<file path=xl/ctrlProps/ctrlProp23.xml><?xml version="1.0" encoding="utf-8"?>
<formControlPr xmlns="http://schemas.microsoft.com/office/spreadsheetml/2009/9/main" objectType="Radio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checked="Checked" firstButton="1" fmlaLink="$E$27" lockText="1"/>
</file>

<file path=xl/ctrlProps/ctrlProp26.xml><?xml version="1.0" encoding="utf-8"?>
<formControlPr xmlns="http://schemas.microsoft.com/office/spreadsheetml/2009/9/main" objectType="Radio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checked="Checked" firstButton="1" fmlaLink="$E$29" lockText="1"/>
</file>

<file path=xl/ctrlProps/ctrlProp30.xml><?xml version="1.0" encoding="utf-8"?>
<formControlPr xmlns="http://schemas.microsoft.com/office/spreadsheetml/2009/9/main" objectType="Radio" lockText="1"/>
</file>

<file path=xl/ctrlProps/ctrlProp31.xml><?xml version="1.0" encoding="utf-8"?>
<formControlPr xmlns="http://schemas.microsoft.com/office/spreadsheetml/2009/9/main" objectType="Radio" lockText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E$31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lockText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Radio" firstButton="1" fmlaLink="$E$33" lockText="1"/>
</file>

<file path=xl/ctrlProps/ctrlProp38.xml><?xml version="1.0" encoding="utf-8"?>
<formControlPr xmlns="http://schemas.microsoft.com/office/spreadsheetml/2009/9/main" objectType="Radio" lockText="1"/>
</file>

<file path=xl/ctrlProps/ctrlProp39.xml><?xml version="1.0" encoding="utf-8"?>
<formControlPr xmlns="http://schemas.microsoft.com/office/spreadsheetml/2009/9/main" objectType="Radio" checked="Checked" lockText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Radio" checked="Checked" firstButton="1" fmlaLink="$E$35" lockText="1"/>
</file>

<file path=xl/ctrlProps/ctrlProp42.xml><?xml version="1.0" encoding="utf-8"?>
<formControlPr xmlns="http://schemas.microsoft.com/office/spreadsheetml/2009/9/main" objectType="Radio" lockText="1"/>
</file>

<file path=xl/ctrlProps/ctrlProp43.xml><?xml version="1.0" encoding="utf-8"?>
<formControlPr xmlns="http://schemas.microsoft.com/office/spreadsheetml/2009/9/main" objectType="Radio" lockText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Radio" checked="Checked" firstButton="1" fmlaLink="$E$37" lockText="1"/>
</file>

<file path=xl/ctrlProps/ctrlProp46.xml><?xml version="1.0" encoding="utf-8"?>
<formControlPr xmlns="http://schemas.microsoft.com/office/spreadsheetml/2009/9/main" objectType="Radio" lockText="1"/>
</file>

<file path=xl/ctrlProps/ctrlProp47.xml><?xml version="1.0" encoding="utf-8"?>
<formControlPr xmlns="http://schemas.microsoft.com/office/spreadsheetml/2009/9/main" objectType="Radio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180975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180975</xdr:rowOff>
        </xdr:from>
        <xdr:to>
          <xdr:col>1</xdr:col>
          <xdr:colOff>742950</xdr:colOff>
          <xdr:row>4</xdr:row>
          <xdr:rowOff>9525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180975</xdr:rowOff>
        </xdr:from>
        <xdr:to>
          <xdr:col>2</xdr:col>
          <xdr:colOff>733425</xdr:colOff>
          <xdr:row>4</xdr:row>
          <xdr:rowOff>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180975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0</xdr:rowOff>
        </xdr:from>
        <xdr:to>
          <xdr:col>1</xdr:col>
          <xdr:colOff>676275</xdr:colOff>
          <xdr:row>8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7</xdr:row>
          <xdr:rowOff>0</xdr:rowOff>
        </xdr:from>
        <xdr:to>
          <xdr:col>2</xdr:col>
          <xdr:colOff>714375</xdr:colOff>
          <xdr:row>7</xdr:row>
          <xdr:rowOff>180975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Solteiro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19050</xdr:rowOff>
        </xdr:from>
        <xdr:to>
          <xdr:col>2</xdr:col>
          <xdr:colOff>838200</xdr:colOff>
          <xdr:row>12</xdr:row>
          <xdr:rowOff>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mais de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19050</xdr:rowOff>
        </xdr:from>
        <xdr:to>
          <xdr:col>7</xdr:col>
          <xdr:colOff>428625</xdr:colOff>
          <xdr:row>11</xdr:row>
          <xdr:rowOff>1047750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ou mais opções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190500</xdr:rowOff>
        </xdr:from>
        <xdr:to>
          <xdr:col>1</xdr:col>
          <xdr:colOff>657225</xdr:colOff>
          <xdr:row>11</xdr:row>
          <xdr:rowOff>438150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Celular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457200</xdr:rowOff>
        </xdr:from>
        <xdr:to>
          <xdr:col>1</xdr:col>
          <xdr:colOff>781050</xdr:colOff>
          <xdr:row>11</xdr:row>
          <xdr:rowOff>685800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Televisão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714375</xdr:rowOff>
        </xdr:from>
        <xdr:to>
          <xdr:col>1</xdr:col>
          <xdr:colOff>885825</xdr:colOff>
          <xdr:row>11</xdr:row>
          <xdr:rowOff>914400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Computador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238125</xdr:rowOff>
        </xdr:from>
        <xdr:to>
          <xdr:col>6</xdr:col>
          <xdr:colOff>28575</xdr:colOff>
          <xdr:row>11</xdr:row>
          <xdr:rowOff>466725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Facebook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657225</xdr:rowOff>
        </xdr:from>
        <xdr:to>
          <xdr:col>6</xdr:col>
          <xdr:colOff>457200</xdr:colOff>
          <xdr:row>11</xdr:row>
          <xdr:rowOff>866775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Instagram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11</xdr:row>
          <xdr:rowOff>219075</xdr:rowOff>
        </xdr:from>
        <xdr:to>
          <xdr:col>7</xdr:col>
          <xdr:colOff>457200</xdr:colOff>
          <xdr:row>11</xdr:row>
          <xdr:rowOff>466725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Linkedin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11</xdr:row>
          <xdr:rowOff>657225</xdr:rowOff>
        </xdr:from>
        <xdr:to>
          <xdr:col>7</xdr:col>
          <xdr:colOff>428625</xdr:colOff>
          <xdr:row>11</xdr:row>
          <xdr:rowOff>866775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Twitter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9525</xdr:rowOff>
        </xdr:from>
        <xdr:to>
          <xdr:col>7</xdr:col>
          <xdr:colOff>0</xdr:colOff>
          <xdr:row>9</xdr:row>
          <xdr:rowOff>47625</xdr:rowOff>
        </xdr:to>
        <xdr:sp macro="" textlink="">
          <xdr:nvSpPr>
            <xdr:cNvPr id="1045" name="List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1209675</xdr:colOff>
          <xdr:row>14</xdr:row>
          <xdr:rowOff>0</xdr:rowOff>
        </xdr:from>
        <xdr:to>
          <xdr:col>3</xdr:col>
          <xdr:colOff>9525</xdr:colOff>
          <xdr:row>15</xdr:row>
          <xdr:rowOff>9525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19050</xdr:colOff>
          <xdr:row>3</xdr:row>
          <xdr:rowOff>180975</xdr:rowOff>
        </xdr:to>
        <xdr:sp macro="" textlink="">
          <xdr:nvSpPr>
            <xdr:cNvPr id="1051" name="Spinner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1209675</xdr:colOff>
          <xdr:row>18</xdr:row>
          <xdr:rowOff>0</xdr:rowOff>
        </xdr:from>
        <xdr:to>
          <xdr:col>5</xdr:col>
          <xdr:colOff>390525</xdr:colOff>
          <xdr:row>19</xdr:row>
          <xdr:rowOff>180975</xdr:rowOff>
        </xdr:to>
        <xdr:sp macro="" textlink="">
          <xdr:nvSpPr>
            <xdr:cNvPr id="1053" name="Scroll Bar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1200150</xdr:colOff>
          <xdr:row>23</xdr:row>
          <xdr:rowOff>180975</xdr:rowOff>
        </xdr:from>
        <xdr:to>
          <xdr:col>4</xdr:col>
          <xdr:colOff>0</xdr:colOff>
          <xdr:row>25</xdr:row>
          <xdr:rowOff>9525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1</xdr:col>
          <xdr:colOff>704850</xdr:colOff>
          <xdr:row>24</xdr:row>
          <xdr:rowOff>400050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24</xdr:row>
          <xdr:rowOff>171450</xdr:rowOff>
        </xdr:from>
        <xdr:to>
          <xdr:col>2</xdr:col>
          <xdr:colOff>771525</xdr:colOff>
          <xdr:row>24</xdr:row>
          <xdr:rowOff>400050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 pouco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24</xdr:row>
          <xdr:rowOff>190500</xdr:rowOff>
        </xdr:from>
        <xdr:to>
          <xdr:col>3</xdr:col>
          <xdr:colOff>752475</xdr:colOff>
          <xdr:row>24</xdr:row>
          <xdr:rowOff>400050</xdr:rowOff>
        </xdr:to>
        <xdr:sp macro="" textlink="">
          <xdr:nvSpPr>
            <xdr:cNvPr id="1064" name="Option 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9525</xdr:rowOff>
        </xdr:from>
        <xdr:to>
          <xdr:col>4</xdr:col>
          <xdr:colOff>0</xdr:colOff>
          <xdr:row>27</xdr:row>
          <xdr:rowOff>19050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26</xdr:row>
          <xdr:rowOff>276225</xdr:rowOff>
        </xdr:from>
        <xdr:to>
          <xdr:col>1</xdr:col>
          <xdr:colOff>695325</xdr:colOff>
          <xdr:row>26</xdr:row>
          <xdr:rowOff>495300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276225</xdr:rowOff>
        </xdr:from>
        <xdr:to>
          <xdr:col>2</xdr:col>
          <xdr:colOff>781050</xdr:colOff>
          <xdr:row>26</xdr:row>
          <xdr:rowOff>504825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 pouco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26</xdr:row>
          <xdr:rowOff>285750</xdr:rowOff>
        </xdr:from>
        <xdr:to>
          <xdr:col>3</xdr:col>
          <xdr:colOff>733425</xdr:colOff>
          <xdr:row>26</xdr:row>
          <xdr:rowOff>495300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1209675</xdr:colOff>
          <xdr:row>27</xdr:row>
          <xdr:rowOff>180975</xdr:rowOff>
        </xdr:from>
        <xdr:to>
          <xdr:col>4</xdr:col>
          <xdr:colOff>9525</xdr:colOff>
          <xdr:row>29</xdr:row>
          <xdr:rowOff>0</xdr:rowOff>
        </xdr:to>
        <xdr:sp macro="" textlink="">
          <xdr:nvSpPr>
            <xdr:cNvPr id="1069" name="Group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28</xdr:row>
          <xdr:rowOff>190500</xdr:rowOff>
        </xdr:from>
        <xdr:to>
          <xdr:col>1</xdr:col>
          <xdr:colOff>685800</xdr:colOff>
          <xdr:row>28</xdr:row>
          <xdr:rowOff>419100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200025</xdr:rowOff>
        </xdr:from>
        <xdr:to>
          <xdr:col>2</xdr:col>
          <xdr:colOff>781050</xdr:colOff>
          <xdr:row>28</xdr:row>
          <xdr:rowOff>419100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 pouco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28</xdr:row>
          <xdr:rowOff>200025</xdr:rowOff>
        </xdr:from>
        <xdr:to>
          <xdr:col>3</xdr:col>
          <xdr:colOff>752475</xdr:colOff>
          <xdr:row>28</xdr:row>
          <xdr:rowOff>409575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1200150</xdr:colOff>
          <xdr:row>29</xdr:row>
          <xdr:rowOff>171450</xdr:rowOff>
        </xdr:from>
        <xdr:to>
          <xdr:col>4</xdr:col>
          <xdr:colOff>0</xdr:colOff>
          <xdr:row>30</xdr:row>
          <xdr:rowOff>561975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30</xdr:row>
          <xdr:rowOff>152400</xdr:rowOff>
        </xdr:from>
        <xdr:to>
          <xdr:col>1</xdr:col>
          <xdr:colOff>685800</xdr:colOff>
          <xdr:row>30</xdr:row>
          <xdr:rowOff>381000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161925</xdr:rowOff>
        </xdr:from>
        <xdr:to>
          <xdr:col>2</xdr:col>
          <xdr:colOff>781050</xdr:colOff>
          <xdr:row>30</xdr:row>
          <xdr:rowOff>381000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 pouco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30</xdr:row>
          <xdr:rowOff>161925</xdr:rowOff>
        </xdr:from>
        <xdr:to>
          <xdr:col>3</xdr:col>
          <xdr:colOff>752475</xdr:colOff>
          <xdr:row>30</xdr:row>
          <xdr:rowOff>371475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9525</xdr:rowOff>
        </xdr:from>
        <xdr:to>
          <xdr:col>4</xdr:col>
          <xdr:colOff>0</xdr:colOff>
          <xdr:row>32</xdr:row>
          <xdr:rowOff>561975</xdr:rowOff>
        </xdr:to>
        <xdr:sp macro="" textlink="">
          <xdr:nvSpPr>
            <xdr:cNvPr id="1084" name="Group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32</xdr:row>
          <xdr:rowOff>180975</xdr:rowOff>
        </xdr:from>
        <xdr:to>
          <xdr:col>1</xdr:col>
          <xdr:colOff>685800</xdr:colOff>
          <xdr:row>32</xdr:row>
          <xdr:rowOff>409575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190500</xdr:rowOff>
        </xdr:from>
        <xdr:to>
          <xdr:col>2</xdr:col>
          <xdr:colOff>781050</xdr:colOff>
          <xdr:row>32</xdr:row>
          <xdr:rowOff>409575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 pouco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32</xdr:row>
          <xdr:rowOff>190500</xdr:rowOff>
        </xdr:from>
        <xdr:to>
          <xdr:col>3</xdr:col>
          <xdr:colOff>752475</xdr:colOff>
          <xdr:row>32</xdr:row>
          <xdr:rowOff>400050</xdr:rowOff>
        </xdr:to>
        <xdr:sp macro="" textlink="">
          <xdr:nvSpPr>
            <xdr:cNvPr id="1087" name="Option 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9525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1088" name="Group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34</xdr:row>
          <xdr:rowOff>114300</xdr:rowOff>
        </xdr:from>
        <xdr:to>
          <xdr:col>1</xdr:col>
          <xdr:colOff>685800</xdr:colOff>
          <xdr:row>34</xdr:row>
          <xdr:rowOff>342900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123825</xdr:rowOff>
        </xdr:from>
        <xdr:to>
          <xdr:col>2</xdr:col>
          <xdr:colOff>781050</xdr:colOff>
          <xdr:row>34</xdr:row>
          <xdr:rowOff>342900</xdr:rowOff>
        </xdr:to>
        <xdr:sp macro="" textlink="">
          <xdr:nvSpPr>
            <xdr:cNvPr id="1090" name="Option 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 pouco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34</xdr:row>
          <xdr:rowOff>123825</xdr:rowOff>
        </xdr:from>
        <xdr:to>
          <xdr:col>3</xdr:col>
          <xdr:colOff>752475</xdr:colOff>
          <xdr:row>34</xdr:row>
          <xdr:rowOff>333375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9525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Escolha uma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36</xdr:row>
          <xdr:rowOff>266700</xdr:rowOff>
        </xdr:from>
        <xdr:to>
          <xdr:col>1</xdr:col>
          <xdr:colOff>685800</xdr:colOff>
          <xdr:row>36</xdr:row>
          <xdr:rowOff>495300</xdr:rowOff>
        </xdr:to>
        <xdr:sp macro="" textlink="">
          <xdr:nvSpPr>
            <xdr:cNvPr id="1093" name="Option 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276225</xdr:rowOff>
        </xdr:from>
        <xdr:to>
          <xdr:col>2</xdr:col>
          <xdr:colOff>781050</xdr:colOff>
          <xdr:row>36</xdr:row>
          <xdr:rowOff>495300</xdr:rowOff>
        </xdr:to>
        <xdr:sp macro="" textlink="">
          <xdr:nvSpPr>
            <xdr:cNvPr id="1094" name="Option 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 pouco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36</xdr:row>
          <xdr:rowOff>276225</xdr:rowOff>
        </xdr:from>
        <xdr:to>
          <xdr:col>3</xdr:col>
          <xdr:colOff>752475</xdr:colOff>
          <xdr:row>36</xdr:row>
          <xdr:rowOff>485775</xdr:rowOff>
        </xdr:to>
        <xdr:sp macro="" textlink="">
          <xdr:nvSpPr>
            <xdr:cNvPr id="1095" name="Option 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EC9963-311A-4B65-9087-1CCB855D2D5B}" name="Tabela1" displayName="Tabela1" ref="A1:B7" totalsRowShown="0" headerRowDxfId="20" dataDxfId="19" tableBorderDxfId="18">
  <autoFilter ref="A1:B7" xr:uid="{D93F1446-3630-4F64-AD5B-FDEB8861C22D}"/>
  <tableColumns count="2">
    <tableColumn id="1" xr3:uid="{7F747155-5BFC-44C6-8EC2-84A5E26082CE}" name="Escolaridade" dataDxfId="17"/>
    <tableColumn id="2" xr3:uid="{32C29BDA-8AB0-4640-8CEB-FC59D18DF223}" name="cód" dataDxfId="16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95689B-251C-49CD-9A34-FA3206EC9C64}" name="Tabela3" displayName="Tabela3" ref="A1:C5" totalsRowShown="0" headerRowBorderDxfId="15" tableBorderDxfId="14">
  <autoFilter ref="A1:C5" xr:uid="{AD758487-70C0-41AB-B4A3-734AD7D8C40B}"/>
  <tableColumns count="3">
    <tableColumn id="1" xr3:uid="{1044CA27-671C-419A-95D8-A77C89518B5B}" name="Departamentos" dataDxfId="13"/>
    <tableColumn id="2" xr3:uid="{8C2D6709-17E7-4AFD-A8B0-2E4CB2B25B68}" name="Média Salarial" dataDxfId="12" dataCellStyle="Moeda"/>
    <tableColumn id="3" xr3:uid="{1EE1F9BF-7C29-4D81-91AB-BB6397FFA540}" name="Cód" dataDxfId="11" dataCellStyle="Moeda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CA666E-29AC-4278-8557-435B6D9208EA}" name="Tabela6" displayName="Tabela6" ref="A2:H4" totalsRowShown="0" headerRowDxfId="10" headerRowBorderDxfId="9" tableBorderDxfId="8">
  <autoFilter ref="A2:H4" xr:uid="{3CCA666E-29AC-4278-8557-435B6D9208EA}"/>
  <tableColumns count="8">
    <tableColumn id="1" xr3:uid="{2FF0AEC8-B394-45F9-81A1-CAB2F0BD5515}" name="Sexo" dataDxfId="4">
      <calculatedColumnFormula>IF(A3=1,"Masculino","Feminino")</calculatedColumnFormula>
    </tableColumn>
    <tableColumn id="2" xr3:uid="{D605237B-B4C6-44F4-ACFC-0476B3A5FAA2}" name="Estado Civil" dataDxfId="3">
      <calculatedColumnFormula>IF(B3=1,"Casado","Solteiro")</calculatedColumnFormula>
    </tableColumn>
    <tableColumn id="3" xr3:uid="{700BFB24-BD35-4643-B9E9-D5C87A801B95}" name="Escolaridade" dataDxfId="2">
      <calculatedColumnFormula>INDEX(Tabela1[#All],MATCH(C3,Tabela1[cód],0),1)</calculatedColumnFormula>
    </tableColumn>
    <tableColumn id="4" xr3:uid="{AD7FB965-6C19-41B6-BB92-894BF007AE33}" name="Departamento" dataDxfId="0">
      <calculatedColumnFormula>INDEX(Tabela1[#All],MATCH(D3,Tabela1[cód],0),1)</calculatedColumnFormula>
    </tableColumn>
    <tableColumn id="5" xr3:uid="{5460D795-8258-4E0E-AC5C-ECD6C03638C5}" name="Idade" dataDxfId="1">
      <calculatedColumnFormula>INDEX(E3,1,1)</calculatedColumnFormula>
    </tableColumn>
    <tableColumn id="6" xr3:uid="{406A91F6-3E66-4432-BBBD-C7CC9B429C14}" name="Expectativa Salarial" dataDxfId="7"/>
    <tableColumn id="7" xr3:uid="{7DF8D1D9-0C7C-4641-A16A-3182B779A768}" name="Questões" dataDxfId="6"/>
    <tableColumn id="8" xr3:uid="{87CFFDE6-27EE-4A6E-B296-5669DACB9E66}" name="Comentário" dataDxfId="5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79D4A-C4AD-4409-B8A2-E92DE9AE73E3}">
  <sheetPr codeName="Planilha1"/>
  <dimension ref="A1:S39"/>
  <sheetViews>
    <sheetView topLeftCell="A7" workbookViewId="0">
      <selection activeCell="D10" sqref="D10"/>
    </sheetView>
  </sheetViews>
  <sheetFormatPr defaultRowHeight="15"/>
  <cols>
    <col min="1" max="1" width="18.28515625" bestFit="1" customWidth="1"/>
    <col min="2" max="2" width="14" customWidth="1"/>
    <col min="3" max="3" width="12.7109375" customWidth="1"/>
    <col min="4" max="4" width="16" bestFit="1" customWidth="1"/>
    <col min="5" max="5" width="15.140625" customWidth="1"/>
    <col min="6" max="6" width="11.7109375" bestFit="1" customWidth="1"/>
    <col min="9" max="9" width="9.140625" style="1"/>
    <col min="10" max="10" width="18.42578125" customWidth="1"/>
    <col min="11" max="11" width="13.140625" customWidth="1"/>
    <col min="12" max="12" width="14.42578125" customWidth="1"/>
    <col min="13" max="13" width="14" bestFit="1" customWidth="1"/>
    <col min="14" max="14" width="17.28515625" customWidth="1"/>
  </cols>
  <sheetData>
    <row r="1" spans="1:16" ht="71.25" customHeight="1" thickBot="1">
      <c r="A1" s="53" t="s">
        <v>15</v>
      </c>
      <c r="B1" s="54"/>
      <c r="C1" s="54"/>
      <c r="D1" s="54"/>
      <c r="E1" s="54"/>
      <c r="F1" s="54"/>
      <c r="G1" s="54"/>
      <c r="H1" s="55"/>
      <c r="J1" s="12"/>
      <c r="K1" s="12"/>
      <c r="L1" s="12"/>
      <c r="M1" s="12"/>
      <c r="N1" s="12"/>
      <c r="O1" s="12"/>
      <c r="P1" s="12"/>
    </row>
    <row r="2" spans="1:16">
      <c r="J2" s="3" t="s">
        <v>2</v>
      </c>
      <c r="K2" s="4" t="s">
        <v>1</v>
      </c>
      <c r="L2" s="3" t="s">
        <v>17</v>
      </c>
      <c r="M2" s="3" t="s">
        <v>24</v>
      </c>
      <c r="N2" s="3" t="s">
        <v>32</v>
      </c>
    </row>
    <row r="3" spans="1:16">
      <c r="E3" s="15" t="s">
        <v>33</v>
      </c>
      <c r="F3" s="29">
        <v>31</v>
      </c>
      <c r="G3" s="28"/>
      <c r="J3" s="5">
        <v>2</v>
      </c>
      <c r="K3" s="5">
        <v>2</v>
      </c>
      <c r="L3" s="16">
        <v>3</v>
      </c>
      <c r="M3" s="16">
        <v>2</v>
      </c>
      <c r="N3" s="16">
        <f>INDEX(F3,1,1)</f>
        <v>31</v>
      </c>
    </row>
    <row r="4" spans="1:16">
      <c r="A4" s="13" t="s">
        <v>0</v>
      </c>
    </row>
    <row r="5" spans="1:16">
      <c r="J5" s="8" t="s">
        <v>6</v>
      </c>
      <c r="K5" s="6" t="s">
        <v>7</v>
      </c>
      <c r="L5" s="6" t="s">
        <v>8</v>
      </c>
      <c r="M5" s="6" t="s">
        <v>9</v>
      </c>
    </row>
    <row r="6" spans="1:16" ht="15" customHeight="1">
      <c r="E6" s="57" t="s">
        <v>16</v>
      </c>
      <c r="F6" s="57"/>
      <c r="G6" s="57"/>
      <c r="J6" s="11"/>
      <c r="K6" s="7" t="b">
        <v>0</v>
      </c>
      <c r="L6" s="7" t="b">
        <v>0</v>
      </c>
      <c r="M6" s="7" t="b">
        <v>0</v>
      </c>
    </row>
    <row r="8" spans="1:16">
      <c r="A8" s="14" t="s">
        <v>3</v>
      </c>
      <c r="E8" s="2"/>
      <c r="F8" s="2"/>
      <c r="G8" s="2"/>
      <c r="J8" s="9" t="s">
        <v>10</v>
      </c>
      <c r="K8" s="9" t="s">
        <v>11</v>
      </c>
      <c r="L8" s="9" t="s">
        <v>12</v>
      </c>
      <c r="M8" s="9" t="s">
        <v>13</v>
      </c>
      <c r="N8" s="9" t="s">
        <v>14</v>
      </c>
    </row>
    <row r="9" spans="1:16">
      <c r="J9" s="11"/>
      <c r="K9" s="10" t="b">
        <v>1</v>
      </c>
      <c r="L9" s="10" t="b">
        <v>1</v>
      </c>
      <c r="M9" s="10" t="b">
        <v>1</v>
      </c>
      <c r="N9" s="10" t="b">
        <v>1</v>
      </c>
    </row>
    <row r="11" spans="1:16">
      <c r="A11" s="1"/>
      <c r="B11" s="1"/>
      <c r="C11" s="1"/>
      <c r="D11" s="1"/>
      <c r="E11" s="1"/>
      <c r="F11" s="1"/>
      <c r="G11" s="1"/>
      <c r="H11" s="1"/>
      <c r="J11" s="38" t="s">
        <v>43</v>
      </c>
      <c r="K11" s="39">
        <f>INDEX(D18,1,1)</f>
        <v>2780</v>
      </c>
    </row>
    <row r="12" spans="1:16" ht="83.25" customHeight="1">
      <c r="A12" s="14" t="s">
        <v>4</v>
      </c>
      <c r="B12" s="56"/>
      <c r="C12" s="56"/>
      <c r="D12" s="2"/>
      <c r="E12" s="14" t="s">
        <v>5</v>
      </c>
      <c r="F12" s="56"/>
      <c r="G12" s="56"/>
      <c r="H12" s="56"/>
      <c r="J12" s="1"/>
      <c r="K12" s="1"/>
      <c r="L12" s="1"/>
      <c r="M12" s="1"/>
      <c r="N12" s="1"/>
      <c r="O12" s="1"/>
      <c r="P12" s="1"/>
    </row>
    <row r="13" spans="1:16">
      <c r="A13" s="1"/>
      <c r="B13" s="1"/>
      <c r="C13" s="1"/>
      <c r="D13" s="1"/>
      <c r="E13" s="1"/>
      <c r="F13" s="1"/>
      <c r="G13" s="1"/>
      <c r="H13" s="1"/>
    </row>
    <row r="15" spans="1:16">
      <c r="A15" s="17" t="s">
        <v>24</v>
      </c>
      <c r="E15" s="17" t="s">
        <v>31</v>
      </c>
      <c r="F15" s="24">
        <f ca="1">OFFSET(Departamentos!B1,Pesquisa!M3,0)</f>
        <v>3500</v>
      </c>
    </row>
    <row r="16" spans="1:16">
      <c r="B16" s="33"/>
      <c r="M16" s="30"/>
      <c r="N16" s="30"/>
    </row>
    <row r="17" spans="1:19" s="30" customFormat="1" ht="15" customHeight="1">
      <c r="A17" s="32"/>
      <c r="B17" s="59" t="s">
        <v>44</v>
      </c>
      <c r="C17" s="59"/>
      <c r="D17" s="59"/>
      <c r="E17" s="59"/>
      <c r="F17" s="59"/>
      <c r="I17" s="31"/>
    </row>
    <row r="18" spans="1:19" ht="26.25" customHeight="1">
      <c r="D18" s="37">
        <v>2780</v>
      </c>
    </row>
    <row r="19" spans="1:19">
      <c r="R19" s="30"/>
      <c r="S19" s="30"/>
    </row>
    <row r="22" spans="1:19">
      <c r="A22" s="58" t="s">
        <v>34</v>
      </c>
      <c r="B22" s="58"/>
      <c r="C22" s="58"/>
      <c r="D22" s="58"/>
      <c r="E22" s="58"/>
      <c r="F22" s="58"/>
      <c r="G22" s="58"/>
      <c r="H22" s="58"/>
    </row>
    <row r="23" spans="1:19" ht="18.75" customHeight="1">
      <c r="A23" s="34"/>
      <c r="B23" s="34"/>
      <c r="C23" s="34"/>
      <c r="D23" s="34"/>
      <c r="E23" s="34"/>
      <c r="F23" s="34"/>
      <c r="G23" s="34"/>
      <c r="H23" s="34"/>
    </row>
    <row r="24" spans="1:19">
      <c r="E24" s="36" t="s">
        <v>36</v>
      </c>
    </row>
    <row r="25" spans="1:19" ht="45">
      <c r="A25" s="14" t="s">
        <v>35</v>
      </c>
      <c r="B25" s="35"/>
      <c r="C25" s="35"/>
      <c r="D25" s="35"/>
      <c r="E25" s="41">
        <v>1</v>
      </c>
    </row>
    <row r="26" spans="1:19" ht="14.25" customHeight="1">
      <c r="A26" s="14"/>
    </row>
    <row r="27" spans="1:19" ht="60">
      <c r="A27" s="14" t="s">
        <v>41</v>
      </c>
      <c r="B27" s="35"/>
      <c r="C27" s="35"/>
      <c r="D27" s="35"/>
      <c r="E27" s="41">
        <v>1</v>
      </c>
    </row>
    <row r="29" spans="1:19" ht="45">
      <c r="A29" s="14" t="s">
        <v>37</v>
      </c>
      <c r="B29" s="35"/>
      <c r="C29" s="35"/>
      <c r="D29" s="35"/>
      <c r="E29" s="41">
        <v>1</v>
      </c>
    </row>
    <row r="30" spans="1:19" ht="15.75">
      <c r="E30" s="40"/>
    </row>
    <row r="31" spans="1:19" ht="45">
      <c r="A31" s="14" t="s">
        <v>38</v>
      </c>
      <c r="B31" s="35"/>
      <c r="C31" s="35"/>
      <c r="D31" s="35"/>
      <c r="E31" s="41">
        <v>1</v>
      </c>
    </row>
    <row r="32" spans="1:19" ht="15.75">
      <c r="E32" s="40"/>
    </row>
    <row r="33" spans="1:5" ht="45">
      <c r="A33" s="14" t="s">
        <v>39</v>
      </c>
      <c r="B33" s="35"/>
      <c r="C33" s="35"/>
      <c r="D33" s="35"/>
      <c r="E33" s="41">
        <v>3</v>
      </c>
    </row>
    <row r="34" spans="1:5" ht="15.75">
      <c r="E34" s="40"/>
    </row>
    <row r="35" spans="1:5" ht="30">
      <c r="A35" s="14" t="s">
        <v>40</v>
      </c>
      <c r="B35" s="35"/>
      <c r="C35" s="35"/>
      <c r="D35" s="35"/>
      <c r="E35" s="41">
        <v>1</v>
      </c>
    </row>
    <row r="36" spans="1:5" ht="15.75">
      <c r="E36" s="40"/>
    </row>
    <row r="37" spans="1:5" ht="60">
      <c r="A37" s="14" t="s">
        <v>42</v>
      </c>
      <c r="B37" s="35"/>
      <c r="C37" s="35"/>
      <c r="D37" s="35"/>
      <c r="E37" s="41">
        <v>1</v>
      </c>
    </row>
    <row r="39" spans="1:5" ht="15.75">
      <c r="D39" s="42" t="s">
        <v>45</v>
      </c>
      <c r="E39" s="43">
        <f>SUM(E37,E35,E33,E31,E29,E27,E25)</f>
        <v>9</v>
      </c>
    </row>
  </sheetData>
  <mergeCells count="6">
    <mergeCell ref="A1:H1"/>
    <mergeCell ref="B12:C12"/>
    <mergeCell ref="F12:H12"/>
    <mergeCell ref="E6:G6"/>
    <mergeCell ref="A22:H22"/>
    <mergeCell ref="B17:F17"/>
  </mergeCells>
  <conditionalFormatting sqref="E39">
    <cfRule type="cellIs" dxfId="22" priority="1" operator="lessThan">
      <formula>10</formula>
    </cfRule>
    <cfRule type="cellIs" dxfId="21" priority="2" operator="greaterThanOrEqual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Group Box 5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>
                <anchor moveWithCells="1">
                  <from>
                    <xdr:col>1</xdr:col>
                    <xdr:colOff>9525</xdr:colOff>
                    <xdr:row>2</xdr:row>
                    <xdr:rowOff>180975</xdr:rowOff>
                  </from>
                  <to>
                    <xdr:col>1</xdr:col>
                    <xdr:colOff>742950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180975</xdr:rowOff>
                  </from>
                  <to>
                    <xdr:col>2</xdr:col>
                    <xdr:colOff>733425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Group Box 8">
              <controlPr defaultSize="0" autoFill="0" autoPict="0">
                <anchor moveWithCells="1">
                  <from>
                    <xdr:col>1</xdr:col>
                    <xdr:colOff>9525</xdr:colOff>
                    <xdr:row>5</xdr:row>
                    <xdr:rowOff>180975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676275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Option Button 10">
              <controlPr defaultSize="0" autoFill="0" autoLine="0" autoPict="0">
                <anchor moveWithCells="1">
                  <from>
                    <xdr:col>1</xdr:col>
                    <xdr:colOff>923925</xdr:colOff>
                    <xdr:row>7</xdr:row>
                    <xdr:rowOff>0</xdr:rowOff>
                  </from>
                  <to>
                    <xdr:col>2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Group Box 11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19050</xdr:rowOff>
                  </from>
                  <to>
                    <xdr:col>2</xdr:col>
                    <xdr:colOff>838200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Group Box 12">
              <controlPr defaultSize="0" autoFill="0" autoPict="0">
                <anchor moveWithCells="1">
                  <from>
                    <xdr:col>5</xdr:col>
                    <xdr:colOff>0</xdr:colOff>
                    <xdr:row>11</xdr:row>
                    <xdr:rowOff>19050</xdr:rowOff>
                  </from>
                  <to>
                    <xdr:col>7</xdr:col>
                    <xdr:colOff>428625</xdr:colOff>
                    <xdr:row>11</xdr:row>
                    <xdr:rowOff>1047750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>
                <anchor moveWithCells="1">
                  <from>
                    <xdr:col>1</xdr:col>
                    <xdr:colOff>76200</xdr:colOff>
                    <xdr:row>11</xdr:row>
                    <xdr:rowOff>190500</xdr:rowOff>
                  </from>
                  <to>
                    <xdr:col>1</xdr:col>
                    <xdr:colOff>657225</xdr:colOff>
                    <xdr:row>11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Check Box 14">
              <controlPr defaultSize="0" autoFill="0" autoLine="0" autoPict="0">
                <anchor moveWithCells="1">
                  <from>
                    <xdr:col>1</xdr:col>
                    <xdr:colOff>76200</xdr:colOff>
                    <xdr:row>11</xdr:row>
                    <xdr:rowOff>457200</xdr:rowOff>
                  </from>
                  <to>
                    <xdr:col>1</xdr:col>
                    <xdr:colOff>781050</xdr:colOff>
                    <xdr:row>11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heck Box 15">
              <controlPr defaultSize="0" autoFill="0" autoLine="0" autoPict="0">
                <anchor moveWithCells="1">
                  <from>
                    <xdr:col>1</xdr:col>
                    <xdr:colOff>76200</xdr:colOff>
                    <xdr:row>11</xdr:row>
                    <xdr:rowOff>714375</xdr:rowOff>
                  </from>
                  <to>
                    <xdr:col>1</xdr:col>
                    <xdr:colOff>885825</xdr:colOff>
                    <xdr:row>11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238125</xdr:rowOff>
                  </from>
                  <to>
                    <xdr:col>6</xdr:col>
                    <xdr:colOff>28575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657225</xdr:rowOff>
                  </from>
                  <to>
                    <xdr:col>6</xdr:col>
                    <xdr:colOff>457200</xdr:colOff>
                    <xdr:row>11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Check Box 18">
              <controlPr defaultSize="0" autoFill="0" autoLine="0" autoPict="0">
                <anchor moveWithCells="1">
                  <from>
                    <xdr:col>6</xdr:col>
                    <xdr:colOff>390525</xdr:colOff>
                    <xdr:row>11</xdr:row>
                    <xdr:rowOff>219075</xdr:rowOff>
                  </from>
                  <to>
                    <xdr:col>7</xdr:col>
                    <xdr:colOff>457200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Check Box 19">
              <controlPr defaultSize="0" autoFill="0" autoLine="0" autoPict="0">
                <anchor moveWithCells="1">
                  <from>
                    <xdr:col>6</xdr:col>
                    <xdr:colOff>390525</xdr:colOff>
                    <xdr:row>11</xdr:row>
                    <xdr:rowOff>657225</xdr:rowOff>
                  </from>
                  <to>
                    <xdr:col>7</xdr:col>
                    <xdr:colOff>428625</xdr:colOff>
                    <xdr:row>11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List Box 21">
              <controlPr defaultSize="0" autoLine="0" autoPict="0">
                <anchor moveWithCells="1">
                  <from>
                    <xdr:col>4</xdr:col>
                    <xdr:colOff>0</xdr:colOff>
                    <xdr:row>6</xdr:row>
                    <xdr:rowOff>9525</xdr:rowOff>
                  </from>
                  <to>
                    <xdr:col>7</xdr:col>
                    <xdr:colOff>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Drop Down 25">
              <controlPr defaultSize="0" autoLine="0" autoPict="0">
                <anchor moveWithCells="1">
                  <from>
                    <xdr:col>0</xdr:col>
                    <xdr:colOff>1209675</xdr:colOff>
                    <xdr:row>14</xdr:row>
                    <xdr:rowOff>0</xdr:rowOff>
                  </from>
                  <to>
                    <xdr:col>3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pinner 27">
              <controlPr defaultSize="0" autoPict="0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2" name="Scroll Bar 29">
              <controlPr defaultSize="0" autoPict="0">
                <anchor moveWithCells="1">
                  <from>
                    <xdr:col>0</xdr:col>
                    <xdr:colOff>1209675</xdr:colOff>
                    <xdr:row>18</xdr:row>
                    <xdr:rowOff>0</xdr:rowOff>
                  </from>
                  <to>
                    <xdr:col>5</xdr:col>
                    <xdr:colOff>390525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Group Box 30">
              <controlPr defaultSize="0" autoFill="0" autoPict="0">
                <anchor moveWithCells="1">
                  <from>
                    <xdr:col>0</xdr:col>
                    <xdr:colOff>1200150</xdr:colOff>
                    <xdr:row>23</xdr:row>
                    <xdr:rowOff>180975</xdr:rowOff>
                  </from>
                  <to>
                    <xdr:col>4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4" name="Option Button 36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1</xdr:col>
                    <xdr:colOff>704850</xdr:colOff>
                    <xdr:row>24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5" name="Option Button 37">
              <controlPr defaultSize="0" autoFill="0" autoLine="0" autoPict="0">
                <anchor moveWithCells="1">
                  <from>
                    <xdr:col>2</xdr:col>
                    <xdr:colOff>85725</xdr:colOff>
                    <xdr:row>24</xdr:row>
                    <xdr:rowOff>171450</xdr:rowOff>
                  </from>
                  <to>
                    <xdr:col>2</xdr:col>
                    <xdr:colOff>771525</xdr:colOff>
                    <xdr:row>24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6" name="Option Button 40">
              <controlPr defaultSize="0" autoFill="0" autoLine="0" autoPict="0">
                <anchor moveWithCells="1">
                  <from>
                    <xdr:col>3</xdr:col>
                    <xdr:colOff>247650</xdr:colOff>
                    <xdr:row>24</xdr:row>
                    <xdr:rowOff>190500</xdr:rowOff>
                  </from>
                  <to>
                    <xdr:col>3</xdr:col>
                    <xdr:colOff>752475</xdr:colOff>
                    <xdr:row>24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7" name="Group Box 41">
              <controlPr defaultSize="0" autoFill="0" autoPict="0">
                <anchor moveWithCells="1">
                  <from>
                    <xdr:col>1</xdr:col>
                    <xdr:colOff>0</xdr:colOff>
                    <xdr:row>26</xdr:row>
                    <xdr:rowOff>9525</xdr:rowOff>
                  </from>
                  <to>
                    <xdr:col>4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8" name="Option Button 42">
              <controlPr defaultSize="0" autoFill="0" autoLine="0" autoPict="0">
                <anchor moveWithCells="1">
                  <from>
                    <xdr:col>1</xdr:col>
                    <xdr:colOff>228600</xdr:colOff>
                    <xdr:row>26</xdr:row>
                    <xdr:rowOff>276225</xdr:rowOff>
                  </from>
                  <to>
                    <xdr:col>1</xdr:col>
                    <xdr:colOff>695325</xdr:colOff>
                    <xdr:row>26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9" name="Option Button 43">
              <controlPr defaultSize="0" autoFill="0" autoLine="0" autoPict="0">
                <anchor moveWithCells="1">
                  <from>
                    <xdr:col>2</xdr:col>
                    <xdr:colOff>66675</xdr:colOff>
                    <xdr:row>26</xdr:row>
                    <xdr:rowOff>276225</xdr:rowOff>
                  </from>
                  <to>
                    <xdr:col>2</xdr:col>
                    <xdr:colOff>781050</xdr:colOff>
                    <xdr:row>26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0" name="Option Button 44">
              <controlPr defaultSize="0" autoFill="0" autoLine="0" autoPict="0">
                <anchor moveWithCells="1">
                  <from>
                    <xdr:col>3</xdr:col>
                    <xdr:colOff>266700</xdr:colOff>
                    <xdr:row>26</xdr:row>
                    <xdr:rowOff>285750</xdr:rowOff>
                  </from>
                  <to>
                    <xdr:col>3</xdr:col>
                    <xdr:colOff>733425</xdr:colOff>
                    <xdr:row>26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1" name="Group Box 45">
              <controlPr defaultSize="0" autoFill="0" autoPict="0">
                <anchor moveWithCells="1">
                  <from>
                    <xdr:col>0</xdr:col>
                    <xdr:colOff>1209675</xdr:colOff>
                    <xdr:row>27</xdr:row>
                    <xdr:rowOff>180975</xdr:rowOff>
                  </from>
                  <to>
                    <xdr:col>4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2" name="Option Button 46">
              <controlPr defaultSize="0" autoFill="0" autoLine="0" autoPict="0">
                <anchor moveWithCells="1">
                  <from>
                    <xdr:col>1</xdr:col>
                    <xdr:colOff>238125</xdr:colOff>
                    <xdr:row>28</xdr:row>
                    <xdr:rowOff>190500</xdr:rowOff>
                  </from>
                  <to>
                    <xdr:col>1</xdr:col>
                    <xdr:colOff>685800</xdr:colOff>
                    <xdr:row>28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3" name="Option Button 47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200025</xdr:rowOff>
                  </from>
                  <to>
                    <xdr:col>2</xdr:col>
                    <xdr:colOff>781050</xdr:colOff>
                    <xdr:row>28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4" name="Option Button 49">
              <controlPr defaultSize="0" autoFill="0" autoLine="0" autoPict="0">
                <anchor moveWithCells="1">
                  <from>
                    <xdr:col>3</xdr:col>
                    <xdr:colOff>247650</xdr:colOff>
                    <xdr:row>28</xdr:row>
                    <xdr:rowOff>200025</xdr:rowOff>
                  </from>
                  <to>
                    <xdr:col>3</xdr:col>
                    <xdr:colOff>752475</xdr:colOff>
                    <xdr:row>28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5" name="Group Box 50">
              <controlPr defaultSize="0" autoFill="0" autoPict="0">
                <anchor moveWithCells="1">
                  <from>
                    <xdr:col>0</xdr:col>
                    <xdr:colOff>1200150</xdr:colOff>
                    <xdr:row>29</xdr:row>
                    <xdr:rowOff>171450</xdr:rowOff>
                  </from>
                  <to>
                    <xdr:col>4</xdr:col>
                    <xdr:colOff>0</xdr:colOff>
                    <xdr:row>30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6" name="Option Button 51">
              <controlPr defaultSize="0" autoFill="0" autoLine="0" autoPict="0">
                <anchor moveWithCells="1">
                  <from>
                    <xdr:col>1</xdr:col>
                    <xdr:colOff>238125</xdr:colOff>
                    <xdr:row>30</xdr:row>
                    <xdr:rowOff>152400</xdr:rowOff>
                  </from>
                  <to>
                    <xdr:col>1</xdr:col>
                    <xdr:colOff>685800</xdr:colOff>
                    <xdr:row>30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7" name="Option Button 52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161925</xdr:rowOff>
                  </from>
                  <to>
                    <xdr:col>2</xdr:col>
                    <xdr:colOff>781050</xdr:colOff>
                    <xdr:row>30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8" name="Option Button 53">
              <controlPr defaultSize="0" autoFill="0" autoLine="0" autoPict="0">
                <anchor moveWithCells="1">
                  <from>
                    <xdr:col>3</xdr:col>
                    <xdr:colOff>247650</xdr:colOff>
                    <xdr:row>30</xdr:row>
                    <xdr:rowOff>161925</xdr:rowOff>
                  </from>
                  <to>
                    <xdr:col>3</xdr:col>
                    <xdr:colOff>752475</xdr:colOff>
                    <xdr:row>30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9" name="Group Box 60">
              <controlPr defaultSize="0" autoFill="0" autoPict="0">
                <anchor moveWithCells="1">
                  <from>
                    <xdr:col>1</xdr:col>
                    <xdr:colOff>0</xdr:colOff>
                    <xdr:row>32</xdr:row>
                    <xdr:rowOff>9525</xdr:rowOff>
                  </from>
                  <to>
                    <xdr:col>4</xdr:col>
                    <xdr:colOff>0</xdr:colOff>
                    <xdr:row>32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0" name="Option Button 61">
              <controlPr defaultSize="0" autoFill="0" autoLine="0" autoPict="0">
                <anchor moveWithCells="1">
                  <from>
                    <xdr:col>1</xdr:col>
                    <xdr:colOff>238125</xdr:colOff>
                    <xdr:row>32</xdr:row>
                    <xdr:rowOff>180975</xdr:rowOff>
                  </from>
                  <to>
                    <xdr:col>1</xdr:col>
                    <xdr:colOff>685800</xdr:colOff>
                    <xdr:row>32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1" name="Option Button 62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190500</xdr:rowOff>
                  </from>
                  <to>
                    <xdr:col>2</xdr:col>
                    <xdr:colOff>781050</xdr:colOff>
                    <xdr:row>32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2" name="Option Button 63">
              <controlPr defaultSize="0" autoFill="0" autoLine="0" autoPict="0">
                <anchor moveWithCells="1">
                  <from>
                    <xdr:col>3</xdr:col>
                    <xdr:colOff>247650</xdr:colOff>
                    <xdr:row>32</xdr:row>
                    <xdr:rowOff>190500</xdr:rowOff>
                  </from>
                  <to>
                    <xdr:col>3</xdr:col>
                    <xdr:colOff>752475</xdr:colOff>
                    <xdr:row>32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3" name="Group Box 64">
              <controlPr defaultSize="0" autoFill="0" autoPict="0">
                <anchor moveWithCells="1">
                  <from>
                    <xdr:col>1</xdr:col>
                    <xdr:colOff>0</xdr:colOff>
                    <xdr:row>34</xdr:row>
                    <xdr:rowOff>9525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4" name="Option Button 65">
              <controlPr defaultSize="0" autoFill="0" autoLine="0" autoPict="0">
                <anchor moveWithCells="1">
                  <from>
                    <xdr:col>1</xdr:col>
                    <xdr:colOff>238125</xdr:colOff>
                    <xdr:row>34</xdr:row>
                    <xdr:rowOff>114300</xdr:rowOff>
                  </from>
                  <to>
                    <xdr:col>1</xdr:col>
                    <xdr:colOff>685800</xdr:colOff>
                    <xdr:row>34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5" name="Option Button 66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123825</xdr:rowOff>
                  </from>
                  <to>
                    <xdr:col>2</xdr:col>
                    <xdr:colOff>781050</xdr:colOff>
                    <xdr:row>34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6" name="Option Button 67">
              <controlPr defaultSize="0" autoFill="0" autoLine="0" autoPict="0">
                <anchor moveWithCells="1">
                  <from>
                    <xdr:col>3</xdr:col>
                    <xdr:colOff>247650</xdr:colOff>
                    <xdr:row>34</xdr:row>
                    <xdr:rowOff>123825</xdr:rowOff>
                  </from>
                  <to>
                    <xdr:col>3</xdr:col>
                    <xdr:colOff>752475</xdr:colOff>
                    <xdr:row>34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7" name="Group Box 68">
              <controlPr defaultSize="0" autoFill="0" autoPict="0">
                <anchor moveWithCells="1">
                  <from>
                    <xdr:col>1</xdr:col>
                    <xdr:colOff>0</xdr:colOff>
                    <xdr:row>36</xdr:row>
                    <xdr:rowOff>9525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8" name="Option Button 69">
              <controlPr defaultSize="0" autoFill="0" autoLine="0" autoPict="0">
                <anchor moveWithCells="1">
                  <from>
                    <xdr:col>1</xdr:col>
                    <xdr:colOff>238125</xdr:colOff>
                    <xdr:row>36</xdr:row>
                    <xdr:rowOff>266700</xdr:rowOff>
                  </from>
                  <to>
                    <xdr:col>1</xdr:col>
                    <xdr:colOff>685800</xdr:colOff>
                    <xdr:row>36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49" name="Option Button 70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276225</xdr:rowOff>
                  </from>
                  <to>
                    <xdr:col>2</xdr:col>
                    <xdr:colOff>781050</xdr:colOff>
                    <xdr:row>36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0" name="Option Button 71">
              <controlPr defaultSize="0" autoFill="0" autoLine="0" autoPict="0">
                <anchor moveWithCells="1">
                  <from>
                    <xdr:col>3</xdr:col>
                    <xdr:colOff>247650</xdr:colOff>
                    <xdr:row>36</xdr:row>
                    <xdr:rowOff>276225</xdr:rowOff>
                  </from>
                  <to>
                    <xdr:col>3</xdr:col>
                    <xdr:colOff>752475</xdr:colOff>
                    <xdr:row>36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D9032-3825-4F79-873B-7575F656194A}">
  <sheetPr codeName="Planilha2"/>
  <dimension ref="A1:B7"/>
  <sheetViews>
    <sheetView workbookViewId="0">
      <selection activeCell="C1" sqref="C1"/>
    </sheetView>
  </sheetViews>
  <sheetFormatPr defaultRowHeight="15"/>
  <cols>
    <col min="1" max="1" width="23.7109375" bestFit="1" customWidth="1"/>
    <col min="3" max="3" width="21.7109375" bestFit="1" customWidth="1"/>
  </cols>
  <sheetData>
    <row r="1" spans="1:2" ht="19.5" customHeight="1">
      <c r="A1" s="20" t="s">
        <v>17</v>
      </c>
      <c r="B1" s="45" t="s">
        <v>50</v>
      </c>
    </row>
    <row r="2" spans="1:2" ht="19.5" customHeight="1">
      <c r="A2" s="18" t="s">
        <v>19</v>
      </c>
      <c r="B2" s="44">
        <v>1</v>
      </c>
    </row>
    <row r="3" spans="1:2" ht="19.5" customHeight="1">
      <c r="A3" s="18" t="s">
        <v>18</v>
      </c>
      <c r="B3" s="18">
        <v>2</v>
      </c>
    </row>
    <row r="4" spans="1:2" ht="19.5" customHeight="1">
      <c r="A4" s="18" t="s">
        <v>20</v>
      </c>
      <c r="B4" s="44">
        <v>3</v>
      </c>
    </row>
    <row r="5" spans="1:2" ht="19.5" customHeight="1">
      <c r="A5" s="18" t="s">
        <v>21</v>
      </c>
      <c r="B5" s="18">
        <v>4</v>
      </c>
    </row>
    <row r="6" spans="1:2" ht="19.5" customHeight="1">
      <c r="A6" s="18" t="s">
        <v>22</v>
      </c>
      <c r="B6" s="44">
        <v>5</v>
      </c>
    </row>
    <row r="7" spans="1:2" ht="19.5" customHeight="1">
      <c r="A7" s="19" t="s">
        <v>23</v>
      </c>
      <c r="B7" s="18">
        <v>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738BD-72B1-4210-A934-168098806A87}">
  <sheetPr codeName="Planilha3"/>
  <dimension ref="A1:C12"/>
  <sheetViews>
    <sheetView workbookViewId="0">
      <selection activeCell="D1" sqref="D1"/>
    </sheetView>
  </sheetViews>
  <sheetFormatPr defaultRowHeight="15"/>
  <cols>
    <col min="1" max="1" width="18.5703125" bestFit="1" customWidth="1"/>
    <col min="2" max="2" width="19.5703125" bestFit="1" customWidth="1"/>
  </cols>
  <sheetData>
    <row r="1" spans="1:3" ht="23.25" customHeight="1" thickBot="1">
      <c r="A1" s="47" t="s">
        <v>29</v>
      </c>
      <c r="B1" s="48" t="s">
        <v>30</v>
      </c>
      <c r="C1" s="49" t="s">
        <v>51</v>
      </c>
    </row>
    <row r="2" spans="1:3" ht="23.25" customHeight="1">
      <c r="A2" s="23" t="s">
        <v>25</v>
      </c>
      <c r="B2" s="25">
        <v>3500</v>
      </c>
      <c r="C2" s="50">
        <v>1</v>
      </c>
    </row>
    <row r="3" spans="1:3" ht="23.25" customHeight="1">
      <c r="A3" s="21" t="s">
        <v>26</v>
      </c>
      <c r="B3" s="26">
        <v>3500</v>
      </c>
      <c r="C3" s="50">
        <v>2</v>
      </c>
    </row>
    <row r="4" spans="1:3" ht="23.25" customHeight="1">
      <c r="A4" s="22" t="s">
        <v>27</v>
      </c>
      <c r="B4" s="27">
        <v>2500</v>
      </c>
      <c r="C4" s="50">
        <v>3</v>
      </c>
    </row>
    <row r="5" spans="1:3" ht="23.25" customHeight="1">
      <c r="A5" s="22" t="s">
        <v>28</v>
      </c>
      <c r="B5" s="27">
        <v>2000</v>
      </c>
      <c r="C5" s="50">
        <v>4</v>
      </c>
    </row>
    <row r="6" spans="1:3" ht="23.25" customHeight="1"/>
    <row r="7" spans="1:3" ht="23.25" customHeight="1"/>
    <row r="8" spans="1:3" ht="23.25" customHeight="1"/>
    <row r="9" spans="1:3" ht="23.25" customHeight="1"/>
    <row r="10" spans="1:3" ht="23.25" customHeight="1"/>
    <row r="11" spans="1:3" ht="23.25" customHeight="1"/>
    <row r="12" spans="1:3" ht="23.25" customHeight="1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E527E-094B-43B2-B31C-371FD9A25618}">
  <sheetPr codeName="Planilha4"/>
  <dimension ref="A1:H42"/>
  <sheetViews>
    <sheetView tabSelected="1" topLeftCell="B1" workbookViewId="0">
      <selection activeCell="D4" sqref="D4"/>
    </sheetView>
  </sheetViews>
  <sheetFormatPr defaultRowHeight="15"/>
  <cols>
    <col min="1" max="1" width="9.85546875" bestFit="1" customWidth="1"/>
    <col min="2" max="2" width="15.7109375" bestFit="1" customWidth="1"/>
    <col min="3" max="3" width="23.7109375" bestFit="1" customWidth="1"/>
    <col min="4" max="4" width="23.7109375" customWidth="1"/>
    <col min="5" max="5" width="11.7109375" customWidth="1"/>
    <col min="6" max="6" width="22.85546875" bestFit="1" customWidth="1"/>
    <col min="7" max="7" width="15.42578125" customWidth="1"/>
    <col min="8" max="8" width="67.28515625" bestFit="1" customWidth="1"/>
  </cols>
  <sheetData>
    <row r="1" spans="1:8" ht="34.5">
      <c r="A1" s="60" t="s">
        <v>49</v>
      </c>
      <c r="B1" s="60"/>
      <c r="C1" s="60"/>
      <c r="D1" s="60"/>
      <c r="E1" s="60"/>
      <c r="F1" s="60"/>
      <c r="G1" s="60"/>
      <c r="H1" s="60"/>
    </row>
    <row r="2" spans="1:8" ht="15.75" thickBot="1">
      <c r="A2" s="51" t="s">
        <v>2</v>
      </c>
      <c r="B2" s="51" t="s">
        <v>1</v>
      </c>
      <c r="C2" s="51" t="s">
        <v>17</v>
      </c>
      <c r="D2" s="51" t="s">
        <v>24</v>
      </c>
      <c r="E2" s="51" t="s">
        <v>32</v>
      </c>
      <c r="F2" s="51" t="s">
        <v>46</v>
      </c>
      <c r="G2" s="51" t="s">
        <v>47</v>
      </c>
      <c r="H2" s="51" t="s">
        <v>48</v>
      </c>
    </row>
    <row r="3" spans="1:8">
      <c r="A3" s="46">
        <f t="shared" ref="A3:A4" ca="1" si="0">IF(A3=1,"Masculino","Feminino")</f>
        <v>0</v>
      </c>
      <c r="B3" s="46">
        <f t="shared" ref="B3:B4" ca="1" si="1">IF(B3=1,"Casado","Solteiro")</f>
        <v>0</v>
      </c>
      <c r="C3" s="46">
        <f ca="1">INDEX(Tabela1[#All],MATCH(C3,Tabela1[cód],0),1)</f>
        <v>0</v>
      </c>
      <c r="D3" s="46">
        <f ca="1">INDEX(Tabela1[#All],MATCH(D3,Tabela1[cód],0),1)</f>
        <v>0</v>
      </c>
      <c r="E3" s="46">
        <f t="shared" ref="E3:E4" ca="1" si="2">INDEX(E3,1,1)</f>
        <v>0</v>
      </c>
      <c r="F3" s="46"/>
      <c r="G3" s="46"/>
      <c r="H3" s="46"/>
    </row>
    <row r="4" spans="1:8">
      <c r="A4" s="46">
        <f t="shared" ca="1" si="0"/>
        <v>0</v>
      </c>
      <c r="B4" s="46">
        <f t="shared" ca="1" si="1"/>
        <v>0</v>
      </c>
      <c r="C4" s="46">
        <f ca="1">INDEX(Tabela1[#All],MATCH(C4,Tabela1[cód],0),1)</f>
        <v>0</v>
      </c>
      <c r="D4" s="46">
        <f ca="1">INDEX(Tabela1[#All],MATCH(D4,Tabela1[cód],0),1)</f>
        <v>0</v>
      </c>
      <c r="E4" s="46">
        <f t="shared" ca="1" si="2"/>
        <v>0</v>
      </c>
      <c r="F4" s="52"/>
      <c r="G4" s="46"/>
      <c r="H4" s="46"/>
    </row>
    <row r="5" spans="1:8">
      <c r="A5" s="46"/>
      <c r="B5" s="46"/>
      <c r="C5" s="46"/>
      <c r="D5" s="46"/>
      <c r="E5" s="46"/>
      <c r="F5" s="52"/>
      <c r="G5" s="46"/>
      <c r="H5" s="46"/>
    </row>
    <row r="6" spans="1:8" ht="17.25" customHeight="1">
      <c r="A6" s="46"/>
      <c r="B6" s="46"/>
      <c r="C6" s="46"/>
      <c r="D6" s="46"/>
      <c r="E6" s="46"/>
      <c r="F6" s="52"/>
      <c r="G6" s="46"/>
      <c r="H6" s="46"/>
    </row>
    <row r="7" spans="1:8">
      <c r="A7" s="46"/>
      <c r="B7" s="46"/>
      <c r="C7" s="46"/>
      <c r="D7" s="46"/>
      <c r="E7" s="46"/>
      <c r="F7" s="52"/>
      <c r="G7" s="46"/>
      <c r="H7" s="46"/>
    </row>
    <row r="8" spans="1:8">
      <c r="A8" s="46"/>
      <c r="B8" s="46"/>
      <c r="C8" s="46"/>
      <c r="D8" s="46"/>
      <c r="E8" s="46"/>
      <c r="F8" s="46"/>
      <c r="G8" s="46"/>
      <c r="H8" s="46"/>
    </row>
    <row r="10" spans="1:8">
      <c r="A10" s="46"/>
      <c r="B10" s="46"/>
      <c r="C10" s="46"/>
      <c r="E10" s="46"/>
      <c r="F10" s="46"/>
      <c r="G10" s="46"/>
      <c r="H10" s="46"/>
    </row>
    <row r="11" spans="1:8">
      <c r="A11" s="46"/>
      <c r="B11" s="46"/>
      <c r="C11" s="46"/>
      <c r="E11" s="46"/>
      <c r="F11" s="46"/>
      <c r="G11" s="46"/>
      <c r="H11" s="46"/>
    </row>
    <row r="12" spans="1:8">
      <c r="A12" s="46"/>
      <c r="B12" s="46"/>
      <c r="C12" s="46"/>
      <c r="E12" s="46"/>
      <c r="F12" s="46"/>
      <c r="G12" s="46"/>
      <c r="H12" s="46"/>
    </row>
    <row r="13" spans="1:8">
      <c r="A13" s="46"/>
      <c r="B13" s="46"/>
      <c r="C13" s="46"/>
      <c r="E13" s="46"/>
      <c r="F13" s="46"/>
      <c r="G13" s="46"/>
      <c r="H13" s="46"/>
    </row>
    <row r="14" spans="1:8">
      <c r="A14" s="46"/>
      <c r="B14" s="46"/>
      <c r="C14" s="46"/>
      <c r="E14" s="46"/>
      <c r="F14" s="46"/>
      <c r="G14" s="46"/>
      <c r="H14" s="46"/>
    </row>
    <row r="15" spans="1:8">
      <c r="A15" s="46"/>
      <c r="B15" s="46"/>
      <c r="C15" s="46"/>
      <c r="E15" s="46"/>
      <c r="F15" s="46"/>
      <c r="G15" s="46"/>
      <c r="H15" s="46"/>
    </row>
    <row r="16" spans="1:8">
      <c r="A16" s="46"/>
      <c r="B16" s="46"/>
      <c r="C16" s="46"/>
      <c r="E16" s="46"/>
      <c r="F16" s="46"/>
      <c r="G16" s="46"/>
      <c r="H16" s="46"/>
    </row>
    <row r="17" spans="1:8">
      <c r="A17" s="46"/>
      <c r="B17" s="46"/>
      <c r="C17" s="46"/>
      <c r="E17" s="46"/>
      <c r="F17" s="46"/>
      <c r="G17" s="46"/>
      <c r="H17" s="46"/>
    </row>
    <row r="18" spans="1:8">
      <c r="A18" s="46"/>
      <c r="B18" s="46"/>
      <c r="C18" s="46"/>
      <c r="E18" s="46"/>
      <c r="F18" s="46"/>
      <c r="G18" s="46"/>
      <c r="H18" s="46"/>
    </row>
    <row r="19" spans="1:8">
      <c r="A19" s="46"/>
      <c r="B19" s="46"/>
      <c r="C19" s="46"/>
      <c r="E19" s="46"/>
      <c r="F19" s="46"/>
      <c r="G19" s="46"/>
      <c r="H19" s="46"/>
    </row>
    <row r="20" spans="1:8">
      <c r="A20" s="46"/>
      <c r="B20" s="46"/>
      <c r="C20" s="46"/>
      <c r="E20" s="46"/>
      <c r="F20" s="46"/>
      <c r="G20" s="46"/>
      <c r="H20" s="46"/>
    </row>
    <row r="21" spans="1:8">
      <c r="A21" s="46"/>
      <c r="B21" s="46"/>
      <c r="C21" s="46"/>
      <c r="E21" s="46"/>
      <c r="F21" s="46"/>
      <c r="G21" s="46"/>
      <c r="H21" s="46"/>
    </row>
    <row r="22" spans="1:8">
      <c r="A22" s="46"/>
      <c r="B22" s="46"/>
      <c r="C22" s="46"/>
      <c r="E22" s="46"/>
      <c r="F22" s="46"/>
      <c r="G22" s="46"/>
      <c r="H22" s="46"/>
    </row>
    <row r="23" spans="1:8">
      <c r="A23" s="46"/>
      <c r="B23" s="46"/>
      <c r="C23" s="46"/>
      <c r="E23" s="46"/>
      <c r="F23" s="46"/>
      <c r="G23" s="46"/>
      <c r="H23" s="46"/>
    </row>
    <row r="24" spans="1:8">
      <c r="A24" s="46"/>
      <c r="B24" s="46"/>
      <c r="C24" s="46"/>
      <c r="E24" s="46"/>
      <c r="F24" s="46"/>
      <c r="G24" s="46"/>
      <c r="H24" s="46"/>
    </row>
    <row r="25" spans="1:8">
      <c r="A25" s="46"/>
      <c r="B25" s="46"/>
      <c r="C25" s="46"/>
      <c r="E25" s="46"/>
      <c r="F25" s="46"/>
      <c r="G25" s="46"/>
      <c r="H25" s="46"/>
    </row>
    <row r="26" spans="1:8">
      <c r="A26" s="46"/>
      <c r="B26" s="46"/>
      <c r="C26" s="46"/>
      <c r="E26" s="46"/>
      <c r="F26" s="46"/>
      <c r="G26" s="46"/>
      <c r="H26" s="46"/>
    </row>
    <row r="27" spans="1:8">
      <c r="A27" s="46"/>
      <c r="B27" s="46"/>
      <c r="C27" s="46"/>
      <c r="E27" s="46"/>
      <c r="F27" s="46"/>
      <c r="G27" s="46"/>
      <c r="H27" s="46"/>
    </row>
    <row r="28" spans="1:8">
      <c r="A28" s="46"/>
      <c r="B28" s="46"/>
      <c r="C28" s="46"/>
      <c r="E28" s="46"/>
      <c r="F28" s="46"/>
      <c r="G28" s="46"/>
      <c r="H28" s="46"/>
    </row>
    <row r="29" spans="1:8">
      <c r="A29" s="46"/>
      <c r="B29" s="46"/>
      <c r="C29" s="46"/>
      <c r="E29" s="46"/>
      <c r="F29" s="46"/>
      <c r="G29" s="46"/>
      <c r="H29" s="46"/>
    </row>
    <row r="30" spans="1:8">
      <c r="A30" s="46"/>
      <c r="B30" s="46"/>
      <c r="C30" s="46"/>
      <c r="E30" s="46"/>
      <c r="F30" s="46"/>
      <c r="G30" s="46"/>
      <c r="H30" s="46"/>
    </row>
    <row r="31" spans="1:8">
      <c r="A31" s="46"/>
      <c r="B31" s="46"/>
      <c r="C31" s="46"/>
      <c r="E31" s="46"/>
      <c r="F31" s="46"/>
      <c r="G31" s="46"/>
      <c r="H31" s="46"/>
    </row>
    <row r="32" spans="1:8">
      <c r="A32" s="46"/>
      <c r="B32" s="46"/>
      <c r="C32" s="46"/>
      <c r="E32" s="46"/>
      <c r="F32" s="46"/>
      <c r="G32" s="46"/>
      <c r="H32" s="46"/>
    </row>
    <row r="33" spans="1:8">
      <c r="A33" s="46"/>
      <c r="B33" s="46"/>
      <c r="C33" s="46"/>
      <c r="E33" s="46"/>
      <c r="F33" s="46"/>
      <c r="G33" s="46"/>
      <c r="H33" s="46"/>
    </row>
    <row r="34" spans="1:8">
      <c r="A34" s="46"/>
      <c r="B34" s="46"/>
      <c r="C34" s="46"/>
      <c r="E34" s="46"/>
      <c r="F34" s="46"/>
      <c r="G34" s="46"/>
      <c r="H34" s="46"/>
    </row>
    <row r="35" spans="1:8">
      <c r="A35" s="46"/>
      <c r="B35" s="46"/>
      <c r="C35" s="46"/>
      <c r="E35" s="46"/>
      <c r="F35" s="46"/>
      <c r="G35" s="46"/>
      <c r="H35" s="46"/>
    </row>
    <row r="36" spans="1:8">
      <c r="A36" s="46"/>
      <c r="B36" s="46"/>
      <c r="C36" s="46"/>
      <c r="E36" s="46"/>
      <c r="F36" s="46"/>
      <c r="G36" s="46"/>
      <c r="H36" s="46"/>
    </row>
    <row r="37" spans="1:8">
      <c r="A37" s="46"/>
      <c r="B37" s="46"/>
      <c r="C37" s="46"/>
      <c r="D37" s="46"/>
      <c r="E37" s="46"/>
      <c r="F37" s="46"/>
      <c r="G37" s="46"/>
      <c r="H37" s="46"/>
    </row>
    <row r="38" spans="1:8">
      <c r="A38" s="46"/>
      <c r="B38" s="46"/>
      <c r="C38" s="46"/>
      <c r="D38" s="46"/>
      <c r="E38" s="46"/>
      <c r="F38" s="46"/>
      <c r="G38" s="46"/>
      <c r="H38" s="46"/>
    </row>
    <row r="39" spans="1:8">
      <c r="A39" s="46"/>
      <c r="B39" s="46"/>
      <c r="C39" s="46"/>
      <c r="D39" s="46"/>
      <c r="E39" s="46"/>
      <c r="F39" s="46"/>
      <c r="G39" s="46"/>
      <c r="H39" s="46"/>
    </row>
    <row r="40" spans="1:8">
      <c r="A40" s="46"/>
      <c r="B40" s="46"/>
      <c r="C40" s="46"/>
      <c r="D40" s="46"/>
      <c r="E40" s="46"/>
      <c r="F40" s="46"/>
      <c r="G40" s="46"/>
      <c r="H40" s="46"/>
    </row>
    <row r="41" spans="1:8">
      <c r="A41" s="46"/>
      <c r="B41" s="46"/>
      <c r="C41" s="46"/>
      <c r="D41" s="46"/>
      <c r="E41" s="46"/>
      <c r="F41" s="46"/>
      <c r="G41" s="46"/>
      <c r="H41" s="46"/>
    </row>
    <row r="42" spans="1:8">
      <c r="A42" s="46"/>
    </row>
  </sheetData>
  <mergeCells count="1">
    <mergeCell ref="A1:H1"/>
  </mergeCells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Pesquisa</vt:lpstr>
      <vt:lpstr>Escolaridade</vt:lpstr>
      <vt:lpstr>Departamentos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Gomes</dc:creator>
  <cp:lastModifiedBy>Administrador</cp:lastModifiedBy>
  <dcterms:created xsi:type="dcterms:W3CDTF">2019-06-01T20:22:03Z</dcterms:created>
  <dcterms:modified xsi:type="dcterms:W3CDTF">2024-04-06T16:44:48Z</dcterms:modified>
</cp:coreProperties>
</file>