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Z:\EXCEL AVANÇADO 2019\ARQUIVOS AULAS\AULA 29 programar\"/>
    </mc:Choice>
  </mc:AlternateContent>
  <xr:revisionPtr revIDLastSave="0" documentId="13_ncr:1_{DE2BB310-5853-480B-A063-86E8F217B155}" xr6:coauthVersionLast="47" xr6:coauthVersionMax="47" xr10:uidLastSave="{00000000-0000-0000-0000-000000000000}"/>
  <bookViews>
    <workbookView xWindow="-120" yWindow="-120" windowWidth="20730" windowHeight="11160" activeTab="2" xr2:uid="{1372C189-0989-4EA4-84AB-A0EDB5F97DF7}"/>
  </bookViews>
  <sheets>
    <sheet name="Planejador" sheetId="1" r:id="rId1"/>
    <sheet name="Medidas" sheetId="2" r:id="rId2"/>
    <sheet name="Produtos" sheetId="3" r:id="rId3"/>
    <sheet name="Mão de Obra" sheetId="5" r:id="rId4"/>
    <sheet name="Fornecedores" sheetId="4" r:id="rId5"/>
  </sheets>
  <definedNames>
    <definedName name="Fornecedores" comment="Lita de fornecedores.">Tabela2[Razão Social]</definedName>
    <definedName name="MaoObra">#REF!</definedName>
    <definedName name="MedidasTrabalhador">Tabela19[Medidas]</definedName>
    <definedName name="ProdutosNome">TabelaProdutos[NOME]</definedName>
    <definedName name="Trabalhador">Tabela28[Razão Social]</definedName>
    <definedName name="UnidadesMedidas" comment="Lista de unidades de medidas.">#REF!</definedName>
    <definedName name="VALOR__LOJA_1">TabelaProdutos[Loja 1]</definedName>
    <definedName name="VALOR__LOJA_2">TabelaProdutos[Loja 2]</definedName>
    <definedName name="VALOR__LOJA_3">TabelaProdutos[Loja 3]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5" i="1" l="1"/>
  <c r="C35" i="1"/>
  <c r="D35" i="1"/>
  <c r="E35" i="1"/>
  <c r="F35" i="1"/>
  <c r="G35" i="1"/>
  <c r="H35" i="1"/>
  <c r="B34" i="1"/>
  <c r="C34" i="1"/>
  <c r="D34" i="1"/>
  <c r="E34" i="1"/>
  <c r="F34" i="1"/>
  <c r="G34" i="1"/>
  <c r="H34" i="1"/>
  <c r="B33" i="1"/>
  <c r="C33" i="1"/>
  <c r="D33" i="1"/>
  <c r="E33" i="1"/>
  <c r="F33" i="1"/>
  <c r="G33" i="1"/>
  <c r="H33" i="1"/>
  <c r="B32" i="1"/>
  <c r="C32" i="1"/>
  <c r="D32" i="1"/>
  <c r="E32" i="1"/>
  <c r="F32" i="1"/>
  <c r="G32" i="1"/>
  <c r="H32" i="1"/>
  <c r="B31" i="1"/>
  <c r="C31" i="1"/>
  <c r="D31" i="1"/>
  <c r="E31" i="1"/>
  <c r="F31" i="1"/>
  <c r="G31" i="1"/>
  <c r="H31" i="1"/>
  <c r="B30" i="1"/>
  <c r="C30" i="1"/>
  <c r="D30" i="1"/>
  <c r="E30" i="1"/>
  <c r="F30" i="1"/>
  <c r="G30" i="1"/>
  <c r="H30" i="1"/>
  <c r="B29" i="1"/>
  <c r="C29" i="1"/>
  <c r="D29" i="1"/>
  <c r="E29" i="1"/>
  <c r="F29" i="1"/>
  <c r="G29" i="1"/>
  <c r="H29" i="1"/>
  <c r="B28" i="1"/>
  <c r="C28" i="1"/>
  <c r="D28" i="1"/>
  <c r="E28" i="1"/>
  <c r="F28" i="1"/>
  <c r="G28" i="1"/>
  <c r="H28" i="1"/>
  <c r="B10" i="1"/>
  <c r="I32" i="1" l="1"/>
  <c r="J32" i="1" s="1"/>
  <c r="I33" i="1"/>
  <c r="J33" i="1" s="1"/>
  <c r="I35" i="1"/>
  <c r="J35" i="1" s="1"/>
  <c r="I34" i="1"/>
  <c r="J34" i="1" s="1"/>
  <c r="I31" i="1"/>
  <c r="J31" i="1" s="1"/>
  <c r="I30" i="1"/>
  <c r="J30" i="1" s="1"/>
  <c r="I29" i="1"/>
  <c r="J29" i="1" s="1"/>
  <c r="I28" i="1"/>
  <c r="J28" i="1" s="1"/>
  <c r="H10" i="1"/>
  <c r="H11" i="1"/>
  <c r="B27" i="1" l="1"/>
  <c r="C27" i="1"/>
  <c r="D27" i="1"/>
  <c r="E27" i="1"/>
  <c r="F27" i="1"/>
  <c r="G27" i="1"/>
  <c r="H27" i="1"/>
  <c r="B26" i="1"/>
  <c r="C26" i="1"/>
  <c r="D26" i="1"/>
  <c r="E26" i="1"/>
  <c r="F26" i="1"/>
  <c r="G26" i="1"/>
  <c r="H26" i="1"/>
  <c r="B25" i="1"/>
  <c r="C25" i="1"/>
  <c r="D25" i="1"/>
  <c r="E25" i="1"/>
  <c r="F25" i="1"/>
  <c r="G25" i="1"/>
  <c r="H25" i="1"/>
  <c r="B24" i="1"/>
  <c r="C24" i="1"/>
  <c r="D24" i="1"/>
  <c r="E24" i="1"/>
  <c r="F24" i="1"/>
  <c r="G24" i="1"/>
  <c r="H24" i="1"/>
  <c r="B23" i="1"/>
  <c r="C23" i="1"/>
  <c r="D23" i="1"/>
  <c r="E23" i="1"/>
  <c r="F23" i="1"/>
  <c r="G23" i="1"/>
  <c r="H23" i="1"/>
  <c r="B22" i="1"/>
  <c r="C22" i="1"/>
  <c r="D22" i="1"/>
  <c r="E22" i="1"/>
  <c r="F22" i="1"/>
  <c r="G22" i="1"/>
  <c r="H22" i="1"/>
  <c r="B21" i="1"/>
  <c r="C21" i="1"/>
  <c r="D21" i="1"/>
  <c r="E21" i="1"/>
  <c r="F21" i="1"/>
  <c r="G21" i="1"/>
  <c r="H21" i="1"/>
  <c r="B20" i="1"/>
  <c r="C20" i="1"/>
  <c r="D20" i="1"/>
  <c r="E20" i="1"/>
  <c r="F20" i="1"/>
  <c r="G20" i="1"/>
  <c r="H20" i="1"/>
  <c r="B11" i="1"/>
  <c r="B12" i="1"/>
  <c r="B13" i="1"/>
  <c r="B14" i="1"/>
  <c r="B15" i="1"/>
  <c r="B16" i="1"/>
  <c r="B17" i="1"/>
  <c r="B18" i="1"/>
  <c r="B19" i="1"/>
  <c r="H12" i="1"/>
  <c r="H13" i="1"/>
  <c r="H14" i="1"/>
  <c r="H15" i="1"/>
  <c r="H16" i="1"/>
  <c r="H17" i="1"/>
  <c r="H18" i="1"/>
  <c r="H19" i="1"/>
  <c r="G10" i="1"/>
  <c r="G11" i="1"/>
  <c r="G12" i="1"/>
  <c r="G13" i="1"/>
  <c r="G14" i="1"/>
  <c r="G15" i="1"/>
  <c r="G16" i="1"/>
  <c r="G17" i="1"/>
  <c r="G18" i="1"/>
  <c r="G19" i="1"/>
  <c r="F10" i="1"/>
  <c r="F11" i="1"/>
  <c r="F12" i="1"/>
  <c r="F13" i="1"/>
  <c r="F14" i="1"/>
  <c r="F15" i="1"/>
  <c r="F16" i="1"/>
  <c r="F17" i="1"/>
  <c r="F18" i="1"/>
  <c r="F19" i="1"/>
  <c r="E10" i="1"/>
  <c r="E11" i="1"/>
  <c r="E12" i="1"/>
  <c r="E13" i="1"/>
  <c r="E14" i="1"/>
  <c r="E15" i="1"/>
  <c r="E16" i="1"/>
  <c r="E17" i="1"/>
  <c r="E18" i="1"/>
  <c r="E19" i="1"/>
  <c r="H4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D10" i="1"/>
  <c r="C10" i="1"/>
  <c r="I27" i="1" l="1"/>
  <c r="J27" i="1" s="1"/>
  <c r="I19" i="1"/>
  <c r="J19" i="1" s="1"/>
  <c r="I15" i="1"/>
  <c r="J15" i="1" s="1"/>
  <c r="I11" i="1"/>
  <c r="J11" i="1" s="1"/>
  <c r="I20" i="1"/>
  <c r="J20" i="1" s="1"/>
  <c r="I24" i="1"/>
  <c r="J24" i="1" s="1"/>
  <c r="I18" i="1"/>
  <c r="J18" i="1" s="1"/>
  <c r="I14" i="1"/>
  <c r="J14" i="1" s="1"/>
  <c r="I10" i="1"/>
  <c r="J10" i="1" s="1"/>
  <c r="I23" i="1"/>
  <c r="J23" i="1" s="1"/>
  <c r="I17" i="1"/>
  <c r="J17" i="1" s="1"/>
  <c r="I13" i="1"/>
  <c r="J13" i="1" s="1"/>
  <c r="I22" i="1"/>
  <c r="J22" i="1" s="1"/>
  <c r="I16" i="1"/>
  <c r="J16" i="1" s="1"/>
  <c r="I12" i="1"/>
  <c r="J12" i="1" s="1"/>
  <c r="I21" i="1"/>
  <c r="J21" i="1" s="1"/>
  <c r="I25" i="1"/>
  <c r="J25" i="1" s="1"/>
  <c r="I26" i="1"/>
  <c r="E7" i="1"/>
  <c r="F7" i="1"/>
  <c r="H7" i="1"/>
  <c r="G7" i="1"/>
  <c r="C7" i="1"/>
  <c r="D7" i="1"/>
  <c r="H79" i="2"/>
  <c r="H78" i="2"/>
  <c r="H77" i="2"/>
  <c r="H73" i="2"/>
  <c r="H72" i="2"/>
  <c r="I7" i="1" l="1"/>
  <c r="J26" i="1"/>
  <c r="J7" i="1" s="1"/>
  <c r="F75" i="2"/>
  <c r="H75" i="2" s="1"/>
  <c r="F70" i="2" s="1"/>
  <c r="C3" i="2"/>
  <c r="H67" i="2"/>
  <c r="H68" i="2"/>
  <c r="H66" i="2"/>
  <c r="H65" i="2"/>
  <c r="H64" i="2"/>
  <c r="H63" i="2"/>
  <c r="H59" i="2"/>
  <c r="H58" i="2"/>
  <c r="H57" i="2"/>
  <c r="H56" i="2"/>
  <c r="H52" i="2"/>
  <c r="H51" i="2"/>
  <c r="H50" i="2"/>
  <c r="H49" i="2"/>
  <c r="H45" i="2"/>
  <c r="H44" i="2"/>
  <c r="H43" i="2"/>
  <c r="H42" i="2"/>
  <c r="H38" i="2"/>
  <c r="H37" i="2"/>
  <c r="H36" i="2"/>
  <c r="H35" i="2"/>
  <c r="H31" i="2"/>
  <c r="H30" i="2"/>
  <c r="H29" i="2"/>
  <c r="H28" i="2"/>
  <c r="H24" i="2"/>
  <c r="H23" i="2"/>
  <c r="H22" i="2"/>
  <c r="H21" i="2"/>
  <c r="H16" i="2"/>
  <c r="H15" i="2"/>
  <c r="H14" i="2"/>
  <c r="H8" i="2"/>
  <c r="H9" i="2"/>
  <c r="H10" i="2"/>
  <c r="H7" i="2"/>
  <c r="H70" i="2" l="1"/>
  <c r="F5" i="2"/>
  <c r="H5" i="2" s="1"/>
  <c r="F61" i="2"/>
  <c r="H61" i="2" s="1"/>
  <c r="F54" i="2"/>
  <c r="H54" i="2" s="1"/>
  <c r="F47" i="2"/>
  <c r="H47" i="2" s="1"/>
  <c r="F40" i="2"/>
  <c r="H40" i="2" s="1"/>
  <c r="F33" i="2"/>
  <c r="H33" i="2" s="1"/>
  <c r="F26" i="2"/>
  <c r="H26" i="2" s="1"/>
  <c r="F19" i="2"/>
  <c r="H19" i="2" s="1"/>
  <c r="F12" i="2"/>
  <c r="H12" i="2" s="1"/>
  <c r="F1" i="2" l="1"/>
  <c r="F2" i="2"/>
  <c r="H2" i="2"/>
  <c r="B7" i="1" l="1"/>
  <c r="K7" i="1" s="1"/>
</calcChain>
</file>

<file path=xl/sharedStrings.xml><?xml version="1.0" encoding="utf-8"?>
<sst xmlns="http://schemas.openxmlformats.org/spreadsheetml/2006/main" count="316" uniqueCount="94">
  <si>
    <t>Parede 1</t>
  </si>
  <si>
    <t>Parede 2</t>
  </si>
  <si>
    <t>Parede 3</t>
  </si>
  <si>
    <t>Parede 4</t>
  </si>
  <si>
    <t>Largura</t>
  </si>
  <si>
    <t>Altura</t>
  </si>
  <si>
    <t>Abertura 1 L</t>
  </si>
  <si>
    <t>Abertura 1 A</t>
  </si>
  <si>
    <t>Abertura 2 L</t>
  </si>
  <si>
    <t>Abertura 2 A</t>
  </si>
  <si>
    <t>Total m²</t>
  </si>
  <si>
    <t>SALA</t>
  </si>
  <si>
    <t>Qtd. Tijolos</t>
  </si>
  <si>
    <t>Banheiro</t>
  </si>
  <si>
    <t>Quarto 1</t>
  </si>
  <si>
    <t>Quarto 2</t>
  </si>
  <si>
    <t>Quarto 3</t>
  </si>
  <si>
    <t>Closete</t>
  </si>
  <si>
    <t>Escritório</t>
  </si>
  <si>
    <t>Cozinha</t>
  </si>
  <si>
    <t>Parede 5</t>
  </si>
  <si>
    <t>Parede 6</t>
  </si>
  <si>
    <t>Medidas das Paredes</t>
  </si>
  <si>
    <t>Total Tijolos</t>
  </si>
  <si>
    <t>Valor Tijolo</t>
  </si>
  <si>
    <t>Valor Total</t>
  </si>
  <si>
    <t>Tijolo 6 furos</t>
  </si>
  <si>
    <t>14x19x19</t>
  </si>
  <si>
    <t>Lavanderia</t>
  </si>
  <si>
    <t>Corredor</t>
  </si>
  <si>
    <t>PRODUTOS USADO EM OBRA</t>
  </si>
  <si>
    <t>NOME</t>
  </si>
  <si>
    <t xml:space="preserve">QUANTIDADE </t>
  </si>
  <si>
    <t>CADASTRO DE FORNECEDORES</t>
  </si>
  <si>
    <t>Razão Social</t>
  </si>
  <si>
    <t>Endereço</t>
  </si>
  <si>
    <t>Telefone 1</t>
  </si>
  <si>
    <t>Telefone 2</t>
  </si>
  <si>
    <t>Loja 1</t>
  </si>
  <si>
    <t>Loja 2</t>
  </si>
  <si>
    <t>Loja 3</t>
  </si>
  <si>
    <t>Endereço Loja 1</t>
  </si>
  <si>
    <t>Endereço Loja 2</t>
  </si>
  <si>
    <t>Endereço Loja 3</t>
  </si>
  <si>
    <t>Unidade</t>
  </si>
  <si>
    <t>Schneider Quadrado Eucalipto Aplainado, 1x1x100cm</t>
  </si>
  <si>
    <t>Schneider Ripa Eucalipto Aplainada, 2x1x100cm</t>
  </si>
  <si>
    <t>Indexco Tábua Pinus Seco, Marron, 2x5x300cm</t>
  </si>
  <si>
    <t>Calço para Telha Vogatex 7,5x2,1cm</t>
  </si>
  <si>
    <t>Peça</t>
  </si>
  <si>
    <t>Calço para Telha Ondulada 17,7x5,1cm Branco</t>
  </si>
  <si>
    <t>Telha Romana de Cerâmica Realeza Resinada 23,6x...</t>
  </si>
  <si>
    <t>Cumeeira de Cerâmica 39x24cm Vermelho</t>
  </si>
  <si>
    <t>Espigão Inicial 24x41,5cm Cinza Pérola</t>
  </si>
  <si>
    <t>Placa Cimentícia Eterplac 120x240cm Cinza</t>
  </si>
  <si>
    <t>Presilha Reguladora F530 Galvanizado</t>
  </si>
  <si>
    <t>Fita para Juntas Proroc 150m Branco</t>
  </si>
  <si>
    <t>Massa Placomix Extrafina 21Kg Branco</t>
  </si>
  <si>
    <t>Fita Aluminizada Viaflex Sleeve 45cmx10m Prata</t>
  </si>
  <si>
    <t>Emenda PVC Acabamento Tipo H, Branco, 400cm</t>
  </si>
  <si>
    <t>MDF Revestido Nogal Terracota, 2750x1850x6mm</t>
  </si>
  <si>
    <t>Massa para Madeira F12 900ml Cerejeira</t>
  </si>
  <si>
    <t>Bloco Cerâmico Bloquinho 11,5x14x24cm Marrom</t>
  </si>
  <si>
    <t>Bloco Cerâmico 11,5x14x11,5cm Marrom</t>
  </si>
  <si>
    <t>Bloco Cerâmico Baianinho, Marrom, 09x19x19cm</t>
  </si>
  <si>
    <t>Canaleta Cerâmica, Marrom, 11,5x14x24cm</t>
  </si>
  <si>
    <t>Orçamento de Construção</t>
  </si>
  <si>
    <t>Nome da obra:</t>
  </si>
  <si>
    <t>Valor Final:</t>
  </si>
  <si>
    <t>Valor financiado:</t>
  </si>
  <si>
    <t>Data de término:</t>
  </si>
  <si>
    <t>Materiais necessários</t>
  </si>
  <si>
    <t>Residencial Oliveira</t>
  </si>
  <si>
    <t>Meses de obras:</t>
  </si>
  <si>
    <t>Total:</t>
  </si>
  <si>
    <t>Medidas</t>
  </si>
  <si>
    <t>Loja 4</t>
  </si>
  <si>
    <t>Loja 5</t>
  </si>
  <si>
    <t>Loja 6</t>
  </si>
  <si>
    <t>Loja 7</t>
  </si>
  <si>
    <t>Mínimos</t>
  </si>
  <si>
    <t>Máximos</t>
  </si>
  <si>
    <t>Soma valores menor</t>
  </si>
  <si>
    <t>Soma valores maior</t>
  </si>
  <si>
    <t>Diferença/ mínimos</t>
  </si>
  <si>
    <t>MÃO DE OBRA</t>
  </si>
  <si>
    <t>Pedreiro 1</t>
  </si>
  <si>
    <t>Pedreiro 2</t>
  </si>
  <si>
    <t>Metro²</t>
  </si>
  <si>
    <t>Eletricista</t>
  </si>
  <si>
    <t>Valor</t>
  </si>
  <si>
    <t>Data ínicio:</t>
  </si>
  <si>
    <t>Metragem:</t>
  </si>
  <si>
    <t>Custo Mão de Obra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</si>
</sst>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R$&quot;* #,##0.00_);_(&quot;R$&quot;* \(#,##0.00\);_(&quot;R$&quot;* &quot;-&quot;??_);_(@_)"/>
    <numFmt numFmtId="165" formatCode="&quot;R$&quot;#,##0.00"/>
    <numFmt numFmtId="166" formatCode="[&gt;11111111111]&quot;(&quot;00&quot;)&quot;00000&quot;-&quot;0000;\ &quot;(&quot;00&quot;)&quot;0000&quot;-&quot;0000"/>
  </numFmts>
  <fonts count="2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2"/>
      <color rgb="FF006100"/>
      <name val="Calibri"/>
      <family val="2"/>
      <scheme val="minor"/>
    </font>
    <font>
      <b/>
      <sz val="12"/>
      <color rgb="FF9C5700"/>
      <name val="Calibri"/>
      <family val="2"/>
      <scheme val="minor"/>
    </font>
    <font>
      <sz val="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9797"/>
        <bgColor indexed="64"/>
      </patternFill>
    </fill>
  </fills>
  <borders count="1">
    <border>
      <left/>
      <right/>
      <top/>
      <bottom/>
      <diagonal/>
    </border>
  </borders>
  <cellStyleXfs count="8">
    <xf numFmtId="0" fontId="0" fillId="0" borderId="0"/>
    <xf numFmtId="164" fontId="6" fillId="0" borderId="0" applyFont="0" applyFill="0" applyBorder="0" applyAlignment="0" applyProtection="0"/>
    <xf numFmtId="0" fontId="7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6" fillId="6" borderId="0" applyNumberFormat="0" applyBorder="0" applyAlignment="0" applyProtection="0"/>
    <xf numFmtId="164" fontId="16" fillId="7" borderId="0"/>
  </cellStyleXfs>
  <cellXfs count="39">
    <xf numFmtId="0" fontId="0" fillId="0" borderId="0" xfId="0"/>
    <xf numFmtId="0" fontId="4" fillId="0" borderId="0" xfId="0" applyFont="1"/>
    <xf numFmtId="0" fontId="1" fillId="0" borderId="0" xfId="0" applyFont="1"/>
    <xf numFmtId="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/>
    <xf numFmtId="164" fontId="0" fillId="0" borderId="0" xfId="1" applyFont="1"/>
    <xf numFmtId="0" fontId="0" fillId="0" borderId="0" xfId="0" applyAlignment="1">
      <alignment horizontal="center" vertical="center"/>
    </xf>
    <xf numFmtId="0" fontId="13" fillId="2" borderId="0" xfId="2" applyFont="1" applyAlignment="1">
      <alignment horizontal="right"/>
    </xf>
    <xf numFmtId="0" fontId="0" fillId="0" borderId="0" xfId="0" applyAlignment="1">
      <alignment horizontal="center"/>
    </xf>
    <xf numFmtId="0" fontId="13" fillId="2" borderId="0" xfId="2" applyFont="1" applyAlignment="1">
      <alignment horizontal="center"/>
    </xf>
    <xf numFmtId="0" fontId="6" fillId="6" borderId="0" xfId="6"/>
    <xf numFmtId="14" fontId="1" fillId="6" borderId="0" xfId="6" applyNumberFormat="1" applyFont="1"/>
    <xf numFmtId="164" fontId="1" fillId="6" borderId="0" xfId="6" applyNumberFormat="1" applyFont="1" applyAlignment="1"/>
    <xf numFmtId="14" fontId="1" fillId="6" borderId="0" xfId="6" applyNumberFormat="1" applyFont="1" applyAlignment="1"/>
    <xf numFmtId="0" fontId="1" fillId="6" borderId="0" xfId="6" applyFont="1" applyAlignment="1">
      <alignment horizontal="center"/>
    </xf>
    <xf numFmtId="0" fontId="0" fillId="0" borderId="0" xfId="0" applyNumberFormat="1"/>
    <xf numFmtId="164" fontId="0" fillId="0" borderId="0" xfId="1" applyNumberFormat="1" applyFont="1"/>
    <xf numFmtId="164" fontId="18" fillId="3" borderId="0" xfId="3" applyNumberFormat="1" applyFont="1" applyAlignment="1">
      <alignment horizontal="center"/>
    </xf>
    <xf numFmtId="164" fontId="14" fillId="4" borderId="0" xfId="4" applyNumberFormat="1" applyFont="1" applyAlignment="1">
      <alignment horizontal="center"/>
    </xf>
    <xf numFmtId="164" fontId="17" fillId="3" borderId="0" xfId="3" applyNumberFormat="1" applyFont="1"/>
    <xf numFmtId="164" fontId="15" fillId="4" borderId="0" xfId="4" applyNumberFormat="1" applyFont="1"/>
    <xf numFmtId="164" fontId="19" fillId="5" borderId="0" xfId="5" applyNumberFormat="1" applyFont="1" applyAlignment="1"/>
    <xf numFmtId="0" fontId="13" fillId="2" borderId="0" xfId="2" applyFont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64" fontId="0" fillId="0" borderId="0" xfId="1" applyFont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12" fillId="2" borderId="0" xfId="2" applyFont="1" applyAlignment="1">
      <alignment horizontal="center" wrapText="1"/>
    </xf>
    <xf numFmtId="0" fontId="8" fillId="2" borderId="0" xfId="2" applyFont="1" applyAlignment="1">
      <alignment horizontal="center" vertical="center"/>
    </xf>
    <xf numFmtId="0" fontId="13" fillId="2" borderId="0" xfId="2" applyFont="1" applyAlignment="1">
      <alignment horizontal="right"/>
    </xf>
    <xf numFmtId="164" fontId="1" fillId="6" borderId="0" xfId="6" applyNumberFormat="1" applyFont="1" applyAlignment="1">
      <alignment horizontal="center"/>
    </xf>
    <xf numFmtId="14" fontId="1" fillId="6" borderId="0" xfId="6" applyNumberFormat="1" applyFont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8">
    <cellStyle name="60% - Ênfase6" xfId="6" builtinId="52"/>
    <cellStyle name="Bom" xfId="3" builtinId="26"/>
    <cellStyle name="Ênfase6" xfId="2" builtinId="49"/>
    <cellStyle name="Estilo 1" xfId="7" xr:uid="{9E24172B-A042-4FFD-B979-B00E870DBEF3}"/>
    <cellStyle name="Moeda" xfId="1" builtinId="4"/>
    <cellStyle name="Neutro" xfId="5" builtinId="28"/>
    <cellStyle name="Normal" xfId="0" builtinId="0"/>
    <cellStyle name="Ruim" xfId="4" builtinId="27"/>
  </cellStyles>
  <dxfs count="34">
    <dxf>
      <numFmt numFmtId="166" formatCode="[&gt;11111111111]&quot;(&quot;00&quot;)&quot;00000&quot;-&quot;0000;\ &quot;(&quot;00&quot;)&quot;0000&quot;-&quot;0000"/>
    </dxf>
    <dxf>
      <numFmt numFmtId="0" formatCode="General"/>
    </dxf>
    <dxf>
      <numFmt numFmtId="166" formatCode="[&gt;11111111111]&quot;(&quot;00&quot;)&quot;00000&quot;-&quot;0000;\ &quot;(&quot;00&quot;)&quot;0000&quot;-&quot;000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font>
        <b/>
      </font>
      <numFmt numFmtId="164" formatCode="_(&quot;R$&quot;* #,##0.00_);_(&quot;R$&quot;* \(#,##0.00\);_(&quot;R$&quot;* &quot;-&quot;??_);_(@_)"/>
    </dxf>
    <dxf>
      <font>
        <b/>
      </font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C68D266-2959-4863-B4FE-0115AA403DD8}" name="Orcamento" displayName="Orcamento" ref="A9:J35" totalsRowShown="0">
  <tableColumns count="10">
    <tableColumn id="1" xr3:uid="{024BDEA4-6615-4ADD-9C30-E1C5F7A9A84B}" name="Materiais necessários"/>
    <tableColumn id="2" xr3:uid="{6E86019F-3E6D-43B5-9C7D-85C76E1BD25F}" name="Loja 1" dataDxfId="24" dataCellStyle="Moeda">
      <calculatedColumnFormula>IFERROR(VLOOKUP(A10,TabelaProdutos[#All],3,FALSE),"Selecione um produto")</calculatedColumnFormula>
    </tableColumn>
    <tableColumn id="3" xr3:uid="{0DE7E925-DBDB-4ACA-83D1-9FB612B59D07}" name="Loja 2" dataCellStyle="Moeda">
      <calculatedColumnFormula>IFERROR(VLOOKUP(A10,TabelaProdutos[#All],4,FALSE),"Selecione um produto")</calculatedColumnFormula>
    </tableColumn>
    <tableColumn id="4" xr3:uid="{957562E0-AA14-49C9-95C9-BFA712874943}" name="Loja 3" dataCellStyle="Moeda">
      <calculatedColumnFormula>IFERROR(VLOOKUP(A10,TabelaProdutos[#All],5,FALSE),"Selecione um produto")</calculatedColumnFormula>
    </tableColumn>
    <tableColumn id="5" xr3:uid="{68E8279C-F018-4B9C-B371-FFB0BDF0AE7D}" name="Loja 4" dataCellStyle="Moeda">
      <calculatedColumnFormula>IFERROR(VLOOKUP($A10,TabelaProdutos[#All],6,FALSE),"Selecione um produto")</calculatedColumnFormula>
    </tableColumn>
    <tableColumn id="6" xr3:uid="{FDEEBBAD-3501-4414-BB9F-3E4DABDEBC6A}" name="Loja 5" dataCellStyle="Moeda">
      <calculatedColumnFormula>IFERROR(VLOOKUP($A10,TabelaProdutos[#All],7,FALSE),"Selecione um produto")</calculatedColumnFormula>
    </tableColumn>
    <tableColumn id="7" xr3:uid="{29AC46DE-662B-4DD8-84C9-FE3C91BD6EF1}" name="Loja 6" dataCellStyle="Moeda">
      <calculatedColumnFormula>IFERROR(VLOOKUP($A10,TabelaProdutos[#All],8,FALSE),"Selecione um produto")</calculatedColumnFormula>
    </tableColumn>
    <tableColumn id="8" xr3:uid="{4C811C22-DA1F-4C3D-987C-863AFD0F4975}" name="Loja 7" dataCellStyle="Moeda">
      <calculatedColumnFormula>IFERROR(VLOOKUP($A10,TabelaProdutos[#All],9,FALSE),"Selecione um produto")</calculatedColumnFormula>
    </tableColumn>
    <tableColumn id="9" xr3:uid="{1FA2ADD9-AA0A-49FA-9191-B8934961B6AD}" name="Mínimos" dataDxfId="23" dataCellStyle="Bom">
      <calculatedColumnFormula>MIN(Orcamento[[#This Row],[Loja 1]:[Loja 7]])</calculatedColumnFormula>
    </tableColumn>
    <tableColumn id="10" xr3:uid="{55393C1E-D375-4E2A-8CB8-CB617561626B}" name="Máximos" dataDxfId="22" dataCellStyle="Ruim">
      <calculatedColumnFormula>MAX(Orcamento[[#This Row],[Loja 1]:[Mínimos]])</calculatedColumnFormula>
    </tableColumn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443D33-7ECA-49AF-874E-C09003BC8345}" name="Tabela1911" displayName="Tabela1911" ref="O10:O13" totalsRowShown="0">
  <tableColumns count="1">
    <tableColumn id="1" xr3:uid="{DB3E45F9-F082-4B3E-8C75-A33CD033DD6D}" name="Medidas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3B42D32-1E36-4A1C-BDA8-442A111DA181}" name="Tabela912" displayName="Tabela912" ref="L10:N13" totalsRowShown="0" headerRowDxfId="21" dataDxfId="20" dataCellStyle="Moeda">
  <tableColumns count="3">
    <tableColumn id="1" xr3:uid="{50656745-71F8-4F62-B49E-63972EB0DE3E}" name="NOME" dataDxfId="19"/>
    <tableColumn id="2" xr3:uid="{1CF2B8D3-6498-4BBB-8BDD-28067E975512}" name="QUANTIDADE "/>
    <tableColumn id="3" xr3:uid="{155BCA7D-CF9D-4ACF-85D8-BC7E65E8AC18}" name="Valor" dataDxfId="18" dataCellStyle="Moeda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A56DE4-3F74-4467-8330-10B1ED03E2E3}" name="TabelaProdutos" displayName="TabelaProdutos" ref="A2:I22" totalsRowShown="0" dataDxfId="17" dataCellStyle="Moeda">
  <tableColumns count="9">
    <tableColumn id="1" xr3:uid="{AAACB9CF-0FDD-46B8-8B43-BF6065A11CEA}" name="NOME" dataDxfId="16"/>
    <tableColumn id="2" xr3:uid="{7747A273-2A7D-49B3-A9AA-63BEADFB2C0A}" name="QUANTIDADE " dataDxfId="15"/>
    <tableColumn id="3" xr3:uid="{99AB7D66-8AF1-4122-9259-EC650853DAE7}" name="Loja 1" dataDxfId="14" dataCellStyle="Moeda"/>
    <tableColumn id="4" xr3:uid="{4538363B-3D8A-44D8-9813-28ACC9DEC9E9}" name="Loja 2" dataDxfId="13" dataCellStyle="Moeda"/>
    <tableColumn id="5" xr3:uid="{E0C8B2B1-38F2-40A3-98D5-D09B99113B1F}" name="Loja 3" dataDxfId="12" dataCellStyle="Moeda"/>
    <tableColumn id="6" xr3:uid="{146D1904-D4C4-4335-BABB-AA4666AD8317}" name="Loja 4" dataDxfId="11" dataCellStyle="Moeda"/>
    <tableColumn id="7" xr3:uid="{8895DAE3-052F-4863-BC22-D6C79221F260}" name="Loja 5" dataDxfId="10" dataCellStyle="Moeda"/>
    <tableColumn id="8" xr3:uid="{3AF2FFDB-2A58-4283-B1F6-4BE3B6BA12B6}" name="Loja 6" dataDxfId="9" dataCellStyle="Moeda"/>
    <tableColumn id="9" xr3:uid="{781B464D-D5F2-4BBD-936D-454036F3A51B}" name="Loja 7" dataDxfId="8" dataCellStyle="Moeda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BECA13-2CC6-4B54-BD08-99A82DE0545C}" name="Tabela19" displayName="Tabela19" ref="D2:D5" totalsRowShown="0">
  <tableColumns count="1">
    <tableColumn id="1" xr3:uid="{FA7D9266-1A42-4EE4-AD4C-2896DB233E56}" name="Medidas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02C3784-B78C-4FB6-BC20-27F1C40B5C58}" name="Tabela9" displayName="Tabela9" ref="A2:C5" totalsRowShown="0" headerRowDxfId="7" dataDxfId="6" dataCellStyle="Moeda">
  <tableColumns count="3">
    <tableColumn id="1" xr3:uid="{2220A460-08D9-4550-94AE-057AC365FC29}" name="NOME" dataDxfId="5"/>
    <tableColumn id="2" xr3:uid="{DABF64E5-294D-460D-905B-4F033368E054}" name="QUANTIDADE "/>
    <tableColumn id="3" xr3:uid="{D7B24703-027F-4918-90A4-5837451C18EE}" name="Valor" dataDxfId="4" dataCellStyle="Moeda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D358D3-83C0-498E-9861-DA18F510DC35}" name="Tabela2" displayName="Tabela2" ref="A2:D9" totalsRowShown="0">
  <tableColumns count="4">
    <tableColumn id="1" xr3:uid="{7296A867-8FBA-4F4A-A1C0-37355F737F03}" name="Razão Social"/>
    <tableColumn id="2" xr3:uid="{7501CD55-3F8B-421D-A1F2-EC0B065C5DB8}" name="Endereço"/>
    <tableColumn id="3" xr3:uid="{2FA4B94E-E169-43BF-B805-96EF69D4F478}" name="Telefone 1" dataDxfId="3"/>
    <tableColumn id="4" xr3:uid="{B2FB5112-BACD-489F-BA01-692D3DB4AC7F}" name="Telefone 2" dataDxfId="2"/>
  </tableColumns>
  <tableStyleInfo name="TableStyleLight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673B050-9442-4E35-8291-FC5C624C7B4B}" name="Tabela28" displayName="Tabela28" ref="A12:D15" totalsRowShown="0">
  <tableColumns count="4">
    <tableColumn id="1" xr3:uid="{5107DB6C-3222-48AF-AD56-4C5E9C255000}" name="Razão Social"/>
    <tableColumn id="2" xr3:uid="{81B365EA-5BD2-41CB-824C-BF8B47AB1CDD}" name="Endereço"/>
    <tableColumn id="3" xr3:uid="{48B4DAE8-2B5F-497A-938A-9F62D70CE843}" name="Telefone 1" dataDxfId="1"/>
    <tableColumn id="4" xr3:uid="{A0683218-224C-4074-B1A4-C0BC81F276EF}" name="Telefone 2" dataDxfId="0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84B47-E8F7-4835-AE0A-F5167991EA17}">
  <sheetPr codeName="Planilha1"/>
  <dimension ref="A1:O35"/>
  <sheetViews>
    <sheetView topLeftCell="A4" workbookViewId="0">
      <selection activeCell="K15" sqref="K15"/>
    </sheetView>
  </sheetViews>
  <sheetFormatPr defaultRowHeight="15" x14ac:dyDescent="0.25"/>
  <cols>
    <col min="1" max="1" width="48.85546875" bestFit="1" customWidth="1"/>
    <col min="2" max="2" width="15.28515625" bestFit="1" customWidth="1"/>
    <col min="3" max="3" width="10.140625" bestFit="1" customWidth="1"/>
    <col min="4" max="4" width="11" customWidth="1"/>
    <col min="5" max="5" width="10.42578125" bestFit="1" customWidth="1"/>
    <col min="6" max="6" width="11" customWidth="1"/>
    <col min="7" max="7" width="10.42578125" bestFit="1" customWidth="1"/>
    <col min="8" max="8" width="12.140625" bestFit="1" customWidth="1"/>
    <col min="9" max="9" width="13.28515625" customWidth="1"/>
    <col min="10" max="10" width="12.85546875" customWidth="1"/>
    <col min="11" max="11" width="13.42578125" customWidth="1"/>
    <col min="12" max="12" width="12.28515625" bestFit="1" customWidth="1"/>
    <col min="13" max="13" width="13.5703125" bestFit="1" customWidth="1"/>
    <col min="14" max="14" width="10.140625" bestFit="1" customWidth="1"/>
  </cols>
  <sheetData>
    <row r="1" spans="1:15" ht="18.75" x14ac:dyDescent="0.25">
      <c r="A1" s="31" t="s">
        <v>66</v>
      </c>
      <c r="B1" s="31"/>
      <c r="C1" s="31"/>
      <c r="D1" s="31"/>
      <c r="E1" s="31"/>
      <c r="F1" s="31"/>
      <c r="G1" s="31"/>
      <c r="H1" s="31"/>
      <c r="I1" s="31"/>
      <c r="J1" s="31"/>
      <c r="K1" s="31"/>
    </row>
    <row r="2" spans="1:15" ht="15.75" x14ac:dyDescent="0.25">
      <c r="A2" s="10" t="s">
        <v>67</v>
      </c>
      <c r="B2" s="34" t="s">
        <v>72</v>
      </c>
      <c r="C2" s="34"/>
      <c r="D2" s="34"/>
      <c r="E2" s="34"/>
      <c r="F2" s="34"/>
      <c r="G2" s="34"/>
      <c r="H2" s="34"/>
    </row>
    <row r="3" spans="1:15" ht="15.75" x14ac:dyDescent="0.25">
      <c r="A3" s="10" t="s">
        <v>69</v>
      </c>
      <c r="B3" s="15">
        <v>135000</v>
      </c>
      <c r="C3" s="32" t="s">
        <v>68</v>
      </c>
      <c r="D3" s="32"/>
      <c r="E3" s="33"/>
      <c r="F3" s="33"/>
      <c r="G3" s="13"/>
      <c r="H3" s="13"/>
      <c r="I3" s="25" t="s">
        <v>92</v>
      </c>
      <c r="J3" s="17">
        <v>80</v>
      </c>
    </row>
    <row r="4" spans="1:15" ht="15.75" x14ac:dyDescent="0.25">
      <c r="A4" s="10" t="s">
        <v>91</v>
      </c>
      <c r="B4" s="16">
        <v>43811</v>
      </c>
      <c r="C4" s="32" t="s">
        <v>73</v>
      </c>
      <c r="D4" s="32"/>
      <c r="E4" s="17">
        <v>6</v>
      </c>
      <c r="F4" s="32" t="s">
        <v>70</v>
      </c>
      <c r="G4" s="32"/>
      <c r="H4" s="14">
        <f>EDATE(B4,E4)</f>
        <v>43994</v>
      </c>
    </row>
    <row r="5" spans="1:15" ht="15" customHeight="1" x14ac:dyDescent="0.25">
      <c r="A5" s="7"/>
      <c r="I5" s="30" t="s">
        <v>82</v>
      </c>
      <c r="J5" s="30" t="s">
        <v>83</v>
      </c>
      <c r="K5" s="30" t="s">
        <v>84</v>
      </c>
      <c r="L5" s="30" t="s">
        <v>93</v>
      </c>
    </row>
    <row r="6" spans="1:15" ht="15.75" x14ac:dyDescent="0.25">
      <c r="A6" s="7"/>
      <c r="B6" s="12" t="s">
        <v>38</v>
      </c>
      <c r="C6" s="12" t="s">
        <v>39</v>
      </c>
      <c r="D6" s="12" t="s">
        <v>40</v>
      </c>
      <c r="E6" s="12" t="s">
        <v>76</v>
      </c>
      <c r="F6" s="12" t="s">
        <v>77</v>
      </c>
      <c r="G6" s="12" t="s">
        <v>78</v>
      </c>
      <c r="H6" s="12" t="s">
        <v>79</v>
      </c>
      <c r="I6" s="30"/>
      <c r="J6" s="30"/>
      <c r="K6" s="30"/>
      <c r="L6" s="30"/>
    </row>
    <row r="7" spans="1:15" ht="15.75" x14ac:dyDescent="0.25">
      <c r="A7" s="10" t="s">
        <v>74</v>
      </c>
      <c r="B7" s="17">
        <f>SUM(Orcamento[Loja 1])</f>
        <v>126.83</v>
      </c>
      <c r="C7" s="17">
        <f>SUM(Orcamento[Loja 2])</f>
        <v>113.75</v>
      </c>
      <c r="D7" s="17">
        <f>SUM(Orcamento[Loja 3])</f>
        <v>176.14999999999998</v>
      </c>
      <c r="E7" s="17">
        <f>SUM(Orcamento[Loja 4])</f>
        <v>124.41999999999999</v>
      </c>
      <c r="F7" s="17">
        <f>SUM(Orcamento[Loja 5])</f>
        <v>131.89999999999998</v>
      </c>
      <c r="G7" s="17">
        <f>SUM(Orcamento[Loja 6])</f>
        <v>120.84999999999997</v>
      </c>
      <c r="H7" s="17">
        <f>SUM(Orcamento[Loja 7])</f>
        <v>160.94000000000003</v>
      </c>
      <c r="I7" s="20">
        <f>SUM(Orcamento[Mínimos])</f>
        <v>92.449999999999989</v>
      </c>
      <c r="J7" s="21">
        <f>SUM(Orcamento[Máximos])</f>
        <v>256.7</v>
      </c>
      <c r="K7" s="24">
        <f>(MAX(B7:H7)-MIN(B7:H7))</f>
        <v>62.399999999999977</v>
      </c>
      <c r="L7" s="8"/>
    </row>
    <row r="9" spans="1:15" ht="18.75" x14ac:dyDescent="0.25">
      <c r="A9" t="s">
        <v>71</v>
      </c>
      <c r="B9" t="s">
        <v>38</v>
      </c>
      <c r="C9" t="s">
        <v>39</v>
      </c>
      <c r="D9" t="s">
        <v>40</v>
      </c>
      <c r="E9" t="s">
        <v>76</v>
      </c>
      <c r="F9" t="s">
        <v>77</v>
      </c>
      <c r="G9" t="s">
        <v>78</v>
      </c>
      <c r="H9" t="s">
        <v>79</v>
      </c>
      <c r="I9" t="s">
        <v>80</v>
      </c>
      <c r="J9" t="s">
        <v>81</v>
      </c>
      <c r="L9" s="31" t="s">
        <v>85</v>
      </c>
      <c r="M9" s="31"/>
      <c r="N9" s="31"/>
      <c r="O9" s="31"/>
    </row>
    <row r="10" spans="1:15" x14ac:dyDescent="0.25">
      <c r="A10" t="s">
        <v>46</v>
      </c>
      <c r="B10" s="8">
        <f>IFERROR(VLOOKUP(A10,TabelaProdutos[#All],3,FALSE),"Selecione um produto")</f>
        <v>1.99</v>
      </c>
      <c r="C10" s="8">
        <f>IFERROR(VLOOKUP(A10,TabelaProdutos[#All],4,FALSE),"Selecione um produto")</f>
        <v>2.0499999999999998</v>
      </c>
      <c r="D10" s="8">
        <f>IFERROR(VLOOKUP(A10,TabelaProdutos[#All],5,FALSE),"Selecione um produto")</f>
        <v>10</v>
      </c>
      <c r="E10" s="8">
        <f>IFERROR(VLOOKUP($A10,TabelaProdutos[#All],6,FALSE),"Selecione um produto")</f>
        <v>1.5</v>
      </c>
      <c r="F10" s="8">
        <f>IFERROR(VLOOKUP($A10,TabelaProdutos[#All],7,FALSE),"Selecione um produto")</f>
        <v>1.3</v>
      </c>
      <c r="G10" s="8">
        <f>IFERROR(VLOOKUP($A10,TabelaProdutos[#All],8,FALSE),"Selecione um produto")</f>
        <v>1.6</v>
      </c>
      <c r="H10" s="8">
        <f>IFERROR(VLOOKUP($A10,TabelaProdutos[#All],9,FALSE),"Selecione um produto")</f>
        <v>10</v>
      </c>
      <c r="I10" s="22">
        <f>MIN(Orcamento[[#This Row],[Loja 1]:[Loja 7]])</f>
        <v>1.3</v>
      </c>
      <c r="J10" s="23">
        <f>MAX(Orcamento[[#This Row],[Loja 1]:[Mínimos]])</f>
        <v>10</v>
      </c>
      <c r="L10" s="26" t="s">
        <v>31</v>
      </c>
      <c r="M10" s="26" t="s">
        <v>32</v>
      </c>
      <c r="N10" s="26" t="s">
        <v>90</v>
      </c>
      <c r="O10" t="s">
        <v>75</v>
      </c>
    </row>
    <row r="11" spans="1:15" x14ac:dyDescent="0.25">
      <c r="A11" t="s">
        <v>50</v>
      </c>
      <c r="B11" s="8">
        <f>IFERROR(VLOOKUP(A11,TabelaProdutos[#All],3,FALSE),"Selecione um produto")</f>
        <v>0.9</v>
      </c>
      <c r="C11" s="8">
        <f>IFERROR(VLOOKUP(A11,TabelaProdutos[#All],4,FALSE),"Selecione um produto")</f>
        <v>0.95</v>
      </c>
      <c r="D11" s="8">
        <f>IFERROR(VLOOKUP(A11,TabelaProdutos[#All],5,FALSE),"Selecione um produto")</f>
        <v>0.85</v>
      </c>
      <c r="E11" s="8">
        <f>IFERROR(VLOOKUP($A11,TabelaProdutos[#All],6,FALSE),"Selecione um produto")</f>
        <v>0.8</v>
      </c>
      <c r="F11" s="8">
        <f>IFERROR(VLOOKUP($A11,TabelaProdutos[#All],7,FALSE),"Selecione um produto")</f>
        <v>6</v>
      </c>
      <c r="G11" s="8">
        <f>IFERROR(VLOOKUP($A11,TabelaProdutos[#All],8,FALSE),"Selecione um produto")</f>
        <v>0.6</v>
      </c>
      <c r="H11" s="8">
        <f>IFERROR(VLOOKUP($A11,TabelaProdutos[#All],9,FALSE),"Selecione um produto")</f>
        <v>8</v>
      </c>
      <c r="I11" s="22">
        <f>MIN(Orcamento[[#This Row],[Loja 1]:[Loja 7]])</f>
        <v>0.6</v>
      </c>
      <c r="J11" s="23">
        <f>MAX(Orcamento[[#This Row],[Loja 1]:[Mínimos]])</f>
        <v>8</v>
      </c>
      <c r="L11" s="7" t="s">
        <v>86</v>
      </c>
      <c r="M11" t="s">
        <v>88</v>
      </c>
      <c r="N11" s="8">
        <v>300</v>
      </c>
      <c r="O11" t="s">
        <v>88</v>
      </c>
    </row>
    <row r="12" spans="1:15" x14ac:dyDescent="0.25">
      <c r="A12" t="s">
        <v>52</v>
      </c>
      <c r="B12" s="8">
        <f>IFERROR(VLOOKUP(A12,TabelaProdutos[#All],3,FALSE),"Selecione um produto")</f>
        <v>1.2</v>
      </c>
      <c r="C12" s="8">
        <f>IFERROR(VLOOKUP(A12,TabelaProdutos[#All],4,FALSE),"Selecione um produto")</f>
        <v>6</v>
      </c>
      <c r="D12" s="8">
        <f>IFERROR(VLOOKUP(A12,TabelaProdutos[#All],5,FALSE),"Selecione um produto")</f>
        <v>1.25</v>
      </c>
      <c r="E12" s="8">
        <f>IFERROR(VLOOKUP($A12,TabelaProdutos[#All],6,FALSE),"Selecione um produto")</f>
        <v>1</v>
      </c>
      <c r="F12" s="8">
        <f>IFERROR(VLOOKUP($A12,TabelaProdutos[#All],7,FALSE),"Selecione um produto")</f>
        <v>1.1000000000000001</v>
      </c>
      <c r="G12" s="8">
        <f>IFERROR(VLOOKUP($A12,TabelaProdutos[#All],8,FALSE),"Selecione um produto")</f>
        <v>1.25</v>
      </c>
      <c r="H12" s="8">
        <f>IFERROR(VLOOKUP($A12,TabelaProdutos[#All],9,FALSE),"Selecione um produto")</f>
        <v>1.3</v>
      </c>
      <c r="I12" s="22">
        <f>MIN(Orcamento[[#This Row],[Loja 1]:[Loja 7]])</f>
        <v>1</v>
      </c>
      <c r="J12" s="23">
        <f>MAX(Orcamento[[#This Row],[Loja 1]:[Mínimos]])</f>
        <v>6</v>
      </c>
      <c r="L12" s="7" t="s">
        <v>87</v>
      </c>
      <c r="M12" t="s">
        <v>88</v>
      </c>
      <c r="N12" s="8">
        <v>350</v>
      </c>
    </row>
    <row r="13" spans="1:15" x14ac:dyDescent="0.25">
      <c r="A13" t="s">
        <v>61</v>
      </c>
      <c r="B13" s="8">
        <f>IFERROR(VLOOKUP(A13,TabelaProdutos[#All],3,FALSE),"Selecione um produto")</f>
        <v>20</v>
      </c>
      <c r="C13" s="8">
        <f>IFERROR(VLOOKUP(A13,TabelaProdutos[#All],4,FALSE),"Selecione um produto")</f>
        <v>22</v>
      </c>
      <c r="D13" s="8">
        <f>IFERROR(VLOOKUP(A13,TabelaProdutos[#All],5,FALSE),"Selecione um produto")</f>
        <v>30</v>
      </c>
      <c r="E13" s="8">
        <f>IFERROR(VLOOKUP($A13,TabelaProdutos[#All],6,FALSE),"Selecione um produto")</f>
        <v>21.99</v>
      </c>
      <c r="F13" s="8">
        <f>IFERROR(VLOOKUP($A13,TabelaProdutos[#All],7,FALSE),"Selecione um produto")</f>
        <v>21.9</v>
      </c>
      <c r="G13" s="8">
        <f>IFERROR(VLOOKUP($A13,TabelaProdutos[#All],8,FALSE),"Selecione um produto")</f>
        <v>22.3</v>
      </c>
      <c r="H13" s="8">
        <f>IFERROR(VLOOKUP($A13,TabelaProdutos[#All],9,FALSE),"Selecione um produto")</f>
        <v>22.5</v>
      </c>
      <c r="I13" s="22">
        <f>MIN(Orcamento[[#This Row],[Loja 1]:[Loja 7]])</f>
        <v>20</v>
      </c>
      <c r="J13" s="23">
        <f>MAX(Orcamento[[#This Row],[Loja 1]:[Mínimos]])</f>
        <v>30</v>
      </c>
      <c r="L13" s="7" t="s">
        <v>89</v>
      </c>
      <c r="M13" t="s">
        <v>88</v>
      </c>
      <c r="N13" s="8">
        <v>400</v>
      </c>
    </row>
    <row r="14" spans="1:15" x14ac:dyDescent="0.25">
      <c r="A14" t="s">
        <v>48</v>
      </c>
      <c r="B14" s="8">
        <f>IFERROR(VLOOKUP(A14,TabelaProdutos[#All],3,FALSE),"Selecione um produto")</f>
        <v>0.39</v>
      </c>
      <c r="C14" s="8">
        <f>IFERROR(VLOOKUP(A14,TabelaProdutos[#All],4,FALSE),"Selecione um produto")</f>
        <v>0.4</v>
      </c>
      <c r="D14" s="8">
        <f>IFERROR(VLOOKUP(A14,TabelaProdutos[#All],5,FALSE),"Selecione um produto")</f>
        <v>0.35</v>
      </c>
      <c r="E14" s="8">
        <f>IFERROR(VLOOKUP($A14,TabelaProdutos[#All],6,FALSE),"Selecione um produto")</f>
        <v>0.45</v>
      </c>
      <c r="F14" s="8">
        <f>IFERROR(VLOOKUP($A14,TabelaProdutos[#All],7,FALSE),"Selecione um produto")</f>
        <v>0.4</v>
      </c>
      <c r="G14" s="8">
        <f>IFERROR(VLOOKUP($A14,TabelaProdutos[#All],8,FALSE),"Selecione um produto")</f>
        <v>0.3</v>
      </c>
      <c r="H14" s="8">
        <f>IFERROR(VLOOKUP($A14,TabelaProdutos[#All],9,FALSE),"Selecione um produto")</f>
        <v>0.2</v>
      </c>
      <c r="I14" s="22">
        <f>MIN(Orcamento[[#This Row],[Loja 1]:[Loja 7]])</f>
        <v>0.2</v>
      </c>
      <c r="J14" s="23">
        <f>MAX(Orcamento[[#This Row],[Loja 1]:[Mínimos]])</f>
        <v>0.45</v>
      </c>
    </row>
    <row r="15" spans="1:15" x14ac:dyDescent="0.25">
      <c r="A15" t="s">
        <v>53</v>
      </c>
      <c r="B15" s="8">
        <f>IFERROR(VLOOKUP(A15,TabelaProdutos[#All],3,FALSE),"Selecione um produto")</f>
        <v>8.7899999999999991</v>
      </c>
      <c r="C15" s="8">
        <f>IFERROR(VLOOKUP(A15,TabelaProdutos[#All],4,FALSE),"Selecione um produto")</f>
        <v>8.5</v>
      </c>
      <c r="D15" s="8">
        <f>IFERROR(VLOOKUP(A15,TabelaProdutos[#All],5,FALSE),"Selecione um produto")</f>
        <v>10</v>
      </c>
      <c r="E15" s="8">
        <f>IFERROR(VLOOKUP($A15,TabelaProdutos[#All],6,FALSE),"Selecione um produto")</f>
        <v>20</v>
      </c>
      <c r="F15" s="8">
        <f>IFERROR(VLOOKUP($A15,TabelaProdutos[#All],7,FALSE),"Selecione um produto")</f>
        <v>8.1999999999999993</v>
      </c>
      <c r="G15" s="8">
        <f>IFERROR(VLOOKUP($A15,TabelaProdutos[#All],8,FALSE),"Selecione um produto")</f>
        <v>11</v>
      </c>
      <c r="H15" s="8">
        <f>IFERROR(VLOOKUP($A15,TabelaProdutos[#All],9,FALSE),"Selecione um produto")</f>
        <v>8.4499999999999993</v>
      </c>
      <c r="I15" s="22">
        <f>MIN(Orcamento[[#This Row],[Loja 1]:[Loja 7]])</f>
        <v>8.1999999999999993</v>
      </c>
      <c r="J15" s="23">
        <f>MAX(Orcamento[[#This Row],[Loja 1]:[Mínimos]])</f>
        <v>20</v>
      </c>
    </row>
    <row r="16" spans="1:15" x14ac:dyDescent="0.25">
      <c r="A16" t="s">
        <v>47</v>
      </c>
      <c r="B16" s="8">
        <f>IFERROR(VLOOKUP(A16,TabelaProdutos[#All],3,FALSE),"Selecione um produto")</f>
        <v>3.29</v>
      </c>
      <c r="C16" s="8">
        <f>IFERROR(VLOOKUP(A16,TabelaProdutos[#All],4,FALSE),"Selecione um produto")</f>
        <v>3</v>
      </c>
      <c r="D16" s="8">
        <f>IFERROR(VLOOKUP(A16,TabelaProdutos[#All],5,FALSE),"Selecione um produto")</f>
        <v>3.1</v>
      </c>
      <c r="E16" s="8">
        <f>IFERROR(VLOOKUP($A16,TabelaProdutos[#All],6,FALSE),"Selecione um produto")</f>
        <v>3.3</v>
      </c>
      <c r="F16" s="8">
        <f>IFERROR(VLOOKUP($A16,TabelaProdutos[#All],7,FALSE),"Selecione um produto")</f>
        <v>3.2</v>
      </c>
      <c r="G16" s="8">
        <f>IFERROR(VLOOKUP($A16,TabelaProdutos[#All],8,FALSE),"Selecione um produto")</f>
        <v>3.25</v>
      </c>
      <c r="H16" s="8">
        <f>IFERROR(VLOOKUP($A16,TabelaProdutos[#All],9,FALSE),"Selecione um produto")</f>
        <v>3</v>
      </c>
      <c r="I16" s="22">
        <f>MIN(Orcamento[[#This Row],[Loja 1]:[Loja 7]])</f>
        <v>3</v>
      </c>
      <c r="J16" s="23">
        <f>MAX(Orcamento[[#This Row],[Loja 1]:[Mínimos]])</f>
        <v>3.3</v>
      </c>
    </row>
    <row r="17" spans="1:10" x14ac:dyDescent="0.25">
      <c r="A17" t="s">
        <v>48</v>
      </c>
      <c r="B17" s="8">
        <f>IFERROR(VLOOKUP(A17,TabelaProdutos[#All],3,FALSE),"Selecione um produto")</f>
        <v>0.39</v>
      </c>
      <c r="C17" s="8">
        <f>IFERROR(VLOOKUP(A17,TabelaProdutos[#All],4,FALSE),"Selecione um produto")</f>
        <v>0.4</v>
      </c>
      <c r="D17" s="8">
        <f>IFERROR(VLOOKUP(A17,TabelaProdutos[#All],5,FALSE),"Selecione um produto")</f>
        <v>0.35</v>
      </c>
      <c r="E17" s="8">
        <f>IFERROR(VLOOKUP($A17,TabelaProdutos[#All],6,FALSE),"Selecione um produto")</f>
        <v>0.45</v>
      </c>
      <c r="F17" s="8">
        <f>IFERROR(VLOOKUP($A17,TabelaProdutos[#All],7,FALSE),"Selecione um produto")</f>
        <v>0.4</v>
      </c>
      <c r="G17" s="8">
        <f>IFERROR(VLOOKUP($A17,TabelaProdutos[#All],8,FALSE),"Selecione um produto")</f>
        <v>0.3</v>
      </c>
      <c r="H17" s="8">
        <f>IFERROR(VLOOKUP($A17,TabelaProdutos[#All],9,FALSE),"Selecione um produto")</f>
        <v>0.2</v>
      </c>
      <c r="I17" s="22">
        <f>MIN(Orcamento[[#This Row],[Loja 1]:[Loja 7]])</f>
        <v>0.2</v>
      </c>
      <c r="J17" s="23">
        <f>MAX(Orcamento[[#This Row],[Loja 1]:[Mínimos]])</f>
        <v>0.45</v>
      </c>
    </row>
    <row r="18" spans="1:10" x14ac:dyDescent="0.25">
      <c r="A18" t="s">
        <v>62</v>
      </c>
      <c r="B18" s="8">
        <f>IFERROR(VLOOKUP(A18,TabelaProdutos[#All],3,FALSE),"Selecione um produto")</f>
        <v>0.59</v>
      </c>
      <c r="C18" s="8">
        <f>IFERROR(VLOOKUP(A18,TabelaProdutos[#All],4,FALSE),"Selecione um produto")</f>
        <v>0.5</v>
      </c>
      <c r="D18" s="8">
        <f>IFERROR(VLOOKUP(A18,TabelaProdutos[#All],5,FALSE),"Selecione um produto")</f>
        <v>0.55000000000000004</v>
      </c>
      <c r="E18" s="8">
        <f>IFERROR(VLOOKUP($A18,TabelaProdutos[#All],6,FALSE),"Selecione um produto")</f>
        <v>0.45</v>
      </c>
      <c r="F18" s="8">
        <f>IFERROR(VLOOKUP($A18,TabelaProdutos[#All],7,FALSE),"Selecione um produto")</f>
        <v>3</v>
      </c>
      <c r="G18" s="8">
        <f>IFERROR(VLOOKUP($A18,TabelaProdutos[#All],8,FALSE),"Selecione um produto")</f>
        <v>0.6</v>
      </c>
      <c r="H18" s="8">
        <f>IFERROR(VLOOKUP($A18,TabelaProdutos[#All],9,FALSE),"Selecione um produto")</f>
        <v>0.75</v>
      </c>
      <c r="I18" s="22">
        <f>MIN(Orcamento[[#This Row],[Loja 1]:[Loja 7]])</f>
        <v>0.45</v>
      </c>
      <c r="J18" s="23">
        <f>MAX(Orcamento[[#This Row],[Loja 1]:[Mínimos]])</f>
        <v>3</v>
      </c>
    </row>
    <row r="19" spans="1:10" x14ac:dyDescent="0.25">
      <c r="A19" t="s">
        <v>61</v>
      </c>
      <c r="B19" s="8">
        <f>IFERROR(VLOOKUP(A19,TabelaProdutos[#All],3,FALSE),"Selecione um produto")</f>
        <v>20</v>
      </c>
      <c r="C19" s="8">
        <f>IFERROR(VLOOKUP(A19,TabelaProdutos[#All],4,FALSE),"Selecione um produto")</f>
        <v>22</v>
      </c>
      <c r="D19" s="8">
        <f>IFERROR(VLOOKUP(A19,TabelaProdutos[#All],5,FALSE),"Selecione um produto")</f>
        <v>30</v>
      </c>
      <c r="E19" s="8">
        <f>IFERROR(VLOOKUP($A19,TabelaProdutos[#All],6,FALSE),"Selecione um produto")</f>
        <v>21.99</v>
      </c>
      <c r="F19" s="8">
        <f>IFERROR(VLOOKUP($A19,TabelaProdutos[#All],7,FALSE),"Selecione um produto")</f>
        <v>21.9</v>
      </c>
      <c r="G19" s="8">
        <f>IFERROR(VLOOKUP($A19,TabelaProdutos[#All],8,FALSE),"Selecione um produto")</f>
        <v>22.3</v>
      </c>
      <c r="H19" s="8">
        <f>IFERROR(VLOOKUP($A19,TabelaProdutos[#All],9,FALSE),"Selecione um produto")</f>
        <v>22.5</v>
      </c>
      <c r="I19" s="22">
        <f>MIN(Orcamento[[#This Row],[Loja 1]:[Loja 7]])</f>
        <v>20</v>
      </c>
      <c r="J19" s="23">
        <f>MAX(Orcamento[[#This Row],[Loja 1]:[Mínimos]])</f>
        <v>30</v>
      </c>
    </row>
    <row r="20" spans="1:10" x14ac:dyDescent="0.25">
      <c r="A20" t="s">
        <v>48</v>
      </c>
      <c r="B20" s="19">
        <f>IFERROR(VLOOKUP(A20,TabelaProdutos[#All],3,FALSE),"Selecione um produto")</f>
        <v>0.39</v>
      </c>
      <c r="C20" s="8">
        <f>IFERROR(VLOOKUP(A20,TabelaProdutos[#All],4,FALSE),"Selecione um produto")</f>
        <v>0.4</v>
      </c>
      <c r="D20" s="8">
        <f>IFERROR(VLOOKUP(A20,TabelaProdutos[#All],5,FALSE),"Selecione um produto")</f>
        <v>0.35</v>
      </c>
      <c r="E20" s="8">
        <f>IFERROR(VLOOKUP($A20,TabelaProdutos[#All],6,FALSE),"Selecione um produto")</f>
        <v>0.45</v>
      </c>
      <c r="F20" s="8">
        <f>IFERROR(VLOOKUP($A20,TabelaProdutos[#All],7,FALSE),"Selecione um produto")</f>
        <v>0.4</v>
      </c>
      <c r="G20" s="8">
        <f>IFERROR(VLOOKUP($A20,TabelaProdutos[#All],8,FALSE),"Selecione um produto")</f>
        <v>0.3</v>
      </c>
      <c r="H20" s="8">
        <f>IFERROR(VLOOKUP($A20,TabelaProdutos[#All],9,FALSE),"Selecione um produto")</f>
        <v>0.2</v>
      </c>
      <c r="I20" s="22">
        <f>MIN(Orcamento[[#This Row],[Loja 1]:[Loja 7]])</f>
        <v>0.2</v>
      </c>
      <c r="J20" s="23">
        <f>MAX(Orcamento[[#This Row],[Loja 1]:[Mínimos]])</f>
        <v>0.45</v>
      </c>
    </row>
    <row r="21" spans="1:10" x14ac:dyDescent="0.25">
      <c r="A21" t="s">
        <v>65</v>
      </c>
      <c r="B21" s="19">
        <f>IFERROR(VLOOKUP(A21,TabelaProdutos[#All],3,FALSE),"Selecione um produto")</f>
        <v>1.29</v>
      </c>
      <c r="C21" s="8">
        <f>IFERROR(VLOOKUP(A21,TabelaProdutos[#All],4,FALSE),"Selecione um produto")</f>
        <v>1</v>
      </c>
      <c r="D21" s="8">
        <f>IFERROR(VLOOKUP(A21,TabelaProdutos[#All],5,FALSE),"Selecione um produto")</f>
        <v>1.2</v>
      </c>
      <c r="E21" s="8">
        <f>IFERROR(VLOOKUP($A21,TabelaProdutos[#All],6,FALSE),"Selecione um produto")</f>
        <v>1.3</v>
      </c>
      <c r="F21" s="8">
        <f>IFERROR(VLOOKUP($A21,TabelaProdutos[#All],7,FALSE),"Selecione um produto")</f>
        <v>10</v>
      </c>
      <c r="G21" s="8">
        <f>IFERROR(VLOOKUP($A21,TabelaProdutos[#All],8,FALSE),"Selecione um produto")</f>
        <v>8</v>
      </c>
      <c r="H21" s="8">
        <f>IFERROR(VLOOKUP($A21,TabelaProdutos[#All],9,FALSE),"Selecione um produto")</f>
        <v>1.4</v>
      </c>
      <c r="I21" s="22">
        <f>MIN(Orcamento[[#This Row],[Loja 1]:[Loja 7]])</f>
        <v>1</v>
      </c>
      <c r="J21" s="23">
        <f>MAX(Orcamento[[#This Row],[Loja 1]:[Mínimos]])</f>
        <v>10</v>
      </c>
    </row>
    <row r="22" spans="1:10" x14ac:dyDescent="0.25">
      <c r="A22" t="s">
        <v>47</v>
      </c>
      <c r="B22" s="19">
        <f>IFERROR(VLOOKUP(A22,TabelaProdutos[#All],3,FALSE),"Selecione um produto")</f>
        <v>3.29</v>
      </c>
      <c r="C22" s="8">
        <f>IFERROR(VLOOKUP(A22,TabelaProdutos[#All],4,FALSE),"Selecione um produto")</f>
        <v>3</v>
      </c>
      <c r="D22" s="8">
        <f>IFERROR(VLOOKUP(A22,TabelaProdutos[#All],5,FALSE),"Selecione um produto")</f>
        <v>3.1</v>
      </c>
      <c r="E22" s="8">
        <f>IFERROR(VLOOKUP($A22,TabelaProdutos[#All],6,FALSE),"Selecione um produto")</f>
        <v>3.3</v>
      </c>
      <c r="F22" s="8">
        <f>IFERROR(VLOOKUP($A22,TabelaProdutos[#All],7,FALSE),"Selecione um produto")</f>
        <v>3.2</v>
      </c>
      <c r="G22" s="8">
        <f>IFERROR(VLOOKUP($A22,TabelaProdutos[#All],8,FALSE),"Selecione um produto")</f>
        <v>3.25</v>
      </c>
      <c r="H22" s="8">
        <f>IFERROR(VLOOKUP($A22,TabelaProdutos[#All],9,FALSE),"Selecione um produto")</f>
        <v>3</v>
      </c>
      <c r="I22" s="22">
        <f>MIN(Orcamento[[#This Row],[Loja 1]:[Loja 7]])</f>
        <v>3</v>
      </c>
      <c r="J22" s="23">
        <f>MAX(Orcamento[[#This Row],[Loja 1]:[Mínimos]])</f>
        <v>3.3</v>
      </c>
    </row>
    <row r="23" spans="1:10" x14ac:dyDescent="0.25">
      <c r="A23" t="s">
        <v>46</v>
      </c>
      <c r="B23" s="19">
        <f>IFERROR(VLOOKUP(A23,TabelaProdutos[#All],3,FALSE),"Selecione um produto")</f>
        <v>1.99</v>
      </c>
      <c r="C23" s="8">
        <f>IFERROR(VLOOKUP(A23,TabelaProdutos[#All],4,FALSE),"Selecione um produto")</f>
        <v>2.0499999999999998</v>
      </c>
      <c r="D23" s="8">
        <f>IFERROR(VLOOKUP(A23,TabelaProdutos[#All],5,FALSE),"Selecione um produto")</f>
        <v>10</v>
      </c>
      <c r="E23" s="8">
        <f>IFERROR(VLOOKUP($A23,TabelaProdutos[#All],6,FALSE),"Selecione um produto")</f>
        <v>1.5</v>
      </c>
      <c r="F23" s="8">
        <f>IFERROR(VLOOKUP($A23,TabelaProdutos[#All],7,FALSE),"Selecione um produto")</f>
        <v>1.3</v>
      </c>
      <c r="G23" s="8">
        <f>IFERROR(VLOOKUP($A23,TabelaProdutos[#All],8,FALSE),"Selecione um produto")</f>
        <v>1.6</v>
      </c>
      <c r="H23" s="8">
        <f>IFERROR(VLOOKUP($A23,TabelaProdutos[#All],9,FALSE),"Selecione um produto")</f>
        <v>10</v>
      </c>
      <c r="I23" s="22">
        <f>MIN(Orcamento[[#This Row],[Loja 1]:[Loja 7]])</f>
        <v>1.3</v>
      </c>
      <c r="J23" s="23">
        <f>MAX(Orcamento[[#This Row],[Loja 1]:[Mínimos]])</f>
        <v>10</v>
      </c>
    </row>
    <row r="24" spans="1:10" x14ac:dyDescent="0.25">
      <c r="A24" t="s">
        <v>64</v>
      </c>
      <c r="B24" s="19">
        <f>IFERROR(VLOOKUP(A24,TabelaProdutos[#All],3,FALSE),"Selecione um produto")</f>
        <v>0.49</v>
      </c>
      <c r="C24" s="8">
        <f>IFERROR(VLOOKUP(A24,TabelaProdutos[#All],4,FALSE),"Selecione um produto")</f>
        <v>5</v>
      </c>
      <c r="D24" s="8">
        <f>IFERROR(VLOOKUP(A24,TabelaProdutos[#All],5,FALSE),"Selecione um produto")</f>
        <v>0.55000000000000004</v>
      </c>
      <c r="E24" s="8">
        <f>IFERROR(VLOOKUP($A24,TabelaProdutos[#All],6,FALSE),"Selecione um produto")</f>
        <v>10</v>
      </c>
      <c r="F24" s="8">
        <f>IFERROR(VLOOKUP($A24,TabelaProdutos[#All],7,FALSE),"Selecione um produto")</f>
        <v>0.3</v>
      </c>
      <c r="G24" s="8">
        <f>IFERROR(VLOOKUP($A24,TabelaProdutos[#All],8,FALSE),"Selecione um produto")</f>
        <v>0.45</v>
      </c>
      <c r="H24" s="8">
        <f>IFERROR(VLOOKUP($A24,TabelaProdutos[#All],9,FALSE),"Selecione um produto")</f>
        <v>0.65</v>
      </c>
      <c r="I24" s="22">
        <f>MIN(Orcamento[[#This Row],[Loja 1]:[Loja 7]])</f>
        <v>0.3</v>
      </c>
      <c r="J24" s="23">
        <f>MAX(Orcamento[[#This Row],[Loja 1]:[Mínimos]])</f>
        <v>10</v>
      </c>
    </row>
    <row r="25" spans="1:10" x14ac:dyDescent="0.25">
      <c r="A25" t="s">
        <v>47</v>
      </c>
      <c r="B25" s="19">
        <f>IFERROR(VLOOKUP(A25,TabelaProdutos[#All],3,FALSE),"Selecione um produto")</f>
        <v>3.29</v>
      </c>
      <c r="C25" s="8">
        <f>IFERROR(VLOOKUP(A25,TabelaProdutos[#All],4,FALSE),"Selecione um produto")</f>
        <v>3</v>
      </c>
      <c r="D25" s="8">
        <f>IFERROR(VLOOKUP(A25,TabelaProdutos[#All],5,FALSE),"Selecione um produto")</f>
        <v>3.1</v>
      </c>
      <c r="E25" s="8">
        <f>IFERROR(VLOOKUP($A25,TabelaProdutos[#All],6,FALSE),"Selecione um produto")</f>
        <v>3.3</v>
      </c>
      <c r="F25" s="8">
        <f>IFERROR(VLOOKUP($A25,TabelaProdutos[#All],7,FALSE),"Selecione um produto")</f>
        <v>3.2</v>
      </c>
      <c r="G25" s="8">
        <f>IFERROR(VLOOKUP($A25,TabelaProdutos[#All],8,FALSE),"Selecione um produto")</f>
        <v>3.25</v>
      </c>
      <c r="H25" s="8">
        <f>IFERROR(VLOOKUP($A25,TabelaProdutos[#All],9,FALSE),"Selecione um produto")</f>
        <v>3</v>
      </c>
      <c r="I25" s="22">
        <f>MIN(Orcamento[[#This Row],[Loja 1]:[Loja 7]])</f>
        <v>3</v>
      </c>
      <c r="J25" s="23">
        <f>MAX(Orcamento[[#This Row],[Loja 1]:[Mínimos]])</f>
        <v>3.3</v>
      </c>
    </row>
    <row r="26" spans="1:10" x14ac:dyDescent="0.25">
      <c r="A26" t="s">
        <v>51</v>
      </c>
      <c r="B26" s="19">
        <f>IFERROR(VLOOKUP(A26,TabelaProdutos[#All],3,FALSE),"Selecione um produto")</f>
        <v>10</v>
      </c>
      <c r="C26" s="8">
        <f>IFERROR(VLOOKUP(A26,TabelaProdutos[#All],4,FALSE),"Selecione um produto")</f>
        <v>1</v>
      </c>
      <c r="D26" s="8">
        <f>IFERROR(VLOOKUP(A26,TabelaProdutos[#All],5,FALSE),"Selecione um produto")</f>
        <v>3</v>
      </c>
      <c r="E26" s="8">
        <f>IFERROR(VLOOKUP($A26,TabelaProdutos[#All],6,FALSE),"Selecione um produto")</f>
        <v>1.2</v>
      </c>
      <c r="F26" s="8">
        <f>IFERROR(VLOOKUP($A26,TabelaProdutos[#All],7,FALSE),"Selecione um produto")</f>
        <v>1.3</v>
      </c>
      <c r="G26" s="8">
        <f>IFERROR(VLOOKUP($A26,TabelaProdutos[#All],8,FALSE),"Selecione um produto")</f>
        <v>1.5</v>
      </c>
      <c r="H26" s="8">
        <f>IFERROR(VLOOKUP($A26,TabelaProdutos[#All],9,FALSE),"Selecione um produto")</f>
        <v>1.23</v>
      </c>
      <c r="I26" s="22">
        <f>MIN(Orcamento[[#This Row],[Loja 1]:[Loja 7]])</f>
        <v>1</v>
      </c>
      <c r="J26" s="23">
        <f>MAX(Orcamento[[#This Row],[Loja 1]:[Mínimos]])</f>
        <v>10</v>
      </c>
    </row>
    <row r="27" spans="1:10" x14ac:dyDescent="0.25">
      <c r="A27" t="s">
        <v>48</v>
      </c>
      <c r="B27" s="19">
        <f>IFERROR(VLOOKUP(A27,TabelaProdutos[#All],3,FALSE),"Selecione um produto")</f>
        <v>0.39</v>
      </c>
      <c r="C27" s="8">
        <f>IFERROR(VLOOKUP(A27,TabelaProdutos[#All],4,FALSE),"Selecione um produto")</f>
        <v>0.4</v>
      </c>
      <c r="D27" s="8">
        <f>IFERROR(VLOOKUP(A27,TabelaProdutos[#All],5,FALSE),"Selecione um produto")</f>
        <v>0.35</v>
      </c>
      <c r="E27" s="8">
        <f>IFERROR(VLOOKUP($A27,TabelaProdutos[#All],6,FALSE),"Selecione um produto")</f>
        <v>0.45</v>
      </c>
      <c r="F27" s="8">
        <f>IFERROR(VLOOKUP($A27,TabelaProdutos[#All],7,FALSE),"Selecione um produto")</f>
        <v>0.4</v>
      </c>
      <c r="G27" s="8">
        <f>IFERROR(VLOOKUP($A27,TabelaProdutos[#All],8,FALSE),"Selecione um produto")</f>
        <v>0.3</v>
      </c>
      <c r="H27" s="8">
        <f>IFERROR(VLOOKUP($A27,TabelaProdutos[#All],9,FALSE),"Selecione um produto")</f>
        <v>0.2</v>
      </c>
      <c r="I27" s="22">
        <f>MIN(Orcamento[[#This Row],[Loja 1]:[Loja 7]])</f>
        <v>0.2</v>
      </c>
      <c r="J27" s="23">
        <f>MAX(Orcamento[[#This Row],[Loja 1]:[Mínimos]])</f>
        <v>0.45</v>
      </c>
    </row>
    <row r="28" spans="1:10" x14ac:dyDescent="0.25">
      <c r="A28" t="s">
        <v>46</v>
      </c>
      <c r="B28" s="19">
        <f>IFERROR(VLOOKUP(A28,TabelaProdutos[#All],3,FALSE),"Selecione um produto")</f>
        <v>1.99</v>
      </c>
      <c r="C28" s="8">
        <f>IFERROR(VLOOKUP(A28,TabelaProdutos[#All],4,FALSE),"Selecione um produto")</f>
        <v>2.0499999999999998</v>
      </c>
      <c r="D28" s="8">
        <f>IFERROR(VLOOKUP(A28,TabelaProdutos[#All],5,FALSE),"Selecione um produto")</f>
        <v>10</v>
      </c>
      <c r="E28" s="8">
        <f>IFERROR(VLOOKUP($A28,TabelaProdutos[#All],6,FALSE),"Selecione um produto")</f>
        <v>1.5</v>
      </c>
      <c r="F28" s="8">
        <f>IFERROR(VLOOKUP($A28,TabelaProdutos[#All],7,FALSE),"Selecione um produto")</f>
        <v>1.3</v>
      </c>
      <c r="G28" s="8">
        <f>IFERROR(VLOOKUP($A28,TabelaProdutos[#All],8,FALSE),"Selecione um produto")</f>
        <v>1.6</v>
      </c>
      <c r="H28" s="8">
        <f>IFERROR(VLOOKUP($A28,TabelaProdutos[#All],9,FALSE),"Selecione um produto")</f>
        <v>10</v>
      </c>
      <c r="I28" s="22">
        <f>MIN(Orcamento[[#This Row],[Loja 1]:[Loja 7]])</f>
        <v>1.3</v>
      </c>
      <c r="J28" s="23">
        <f>MAX(Orcamento[[#This Row],[Loja 1]:[Mínimos]])</f>
        <v>10</v>
      </c>
    </row>
    <row r="29" spans="1:10" x14ac:dyDescent="0.25">
      <c r="A29" t="s">
        <v>50</v>
      </c>
      <c r="B29" s="19">
        <f>IFERROR(VLOOKUP(A29,TabelaProdutos[#All],3,FALSE),"Selecione um produto")</f>
        <v>0.9</v>
      </c>
      <c r="C29" s="8">
        <f>IFERROR(VLOOKUP(A29,TabelaProdutos[#All],4,FALSE),"Selecione um produto")</f>
        <v>0.95</v>
      </c>
      <c r="D29" s="8">
        <f>IFERROR(VLOOKUP(A29,TabelaProdutos[#All],5,FALSE),"Selecione um produto")</f>
        <v>0.85</v>
      </c>
      <c r="E29" s="8">
        <f>IFERROR(VLOOKUP($A29,TabelaProdutos[#All],6,FALSE),"Selecione um produto")</f>
        <v>0.8</v>
      </c>
      <c r="F29" s="8">
        <f>IFERROR(VLOOKUP($A29,TabelaProdutos[#All],7,FALSE),"Selecione um produto")</f>
        <v>6</v>
      </c>
      <c r="G29" s="8">
        <f>IFERROR(VLOOKUP($A29,TabelaProdutos[#All],8,FALSE),"Selecione um produto")</f>
        <v>0.6</v>
      </c>
      <c r="H29" s="8">
        <f>IFERROR(VLOOKUP($A29,TabelaProdutos[#All],9,FALSE),"Selecione um produto")</f>
        <v>8</v>
      </c>
      <c r="I29" s="22">
        <f>MIN(Orcamento[[#This Row],[Loja 1]:[Loja 7]])</f>
        <v>0.6</v>
      </c>
      <c r="J29" s="23">
        <f>MAX(Orcamento[[#This Row],[Loja 1]:[Mínimos]])</f>
        <v>8</v>
      </c>
    </row>
    <row r="30" spans="1:10" x14ac:dyDescent="0.25">
      <c r="A30" t="s">
        <v>51</v>
      </c>
      <c r="B30" s="19">
        <f>IFERROR(VLOOKUP(A30,TabelaProdutos[#All],3,FALSE),"Selecione um produto")</f>
        <v>10</v>
      </c>
      <c r="C30" s="8">
        <f>IFERROR(VLOOKUP(A30,TabelaProdutos[#All],4,FALSE),"Selecione um produto")</f>
        <v>1</v>
      </c>
      <c r="D30" s="8">
        <f>IFERROR(VLOOKUP(A30,TabelaProdutos[#All],5,FALSE),"Selecione um produto")</f>
        <v>3</v>
      </c>
      <c r="E30" s="8">
        <f>IFERROR(VLOOKUP($A30,TabelaProdutos[#All],6,FALSE),"Selecione um produto")</f>
        <v>1.2</v>
      </c>
      <c r="F30" s="8">
        <f>IFERROR(VLOOKUP($A30,TabelaProdutos[#All],7,FALSE),"Selecione um produto")</f>
        <v>1.3</v>
      </c>
      <c r="G30" s="8">
        <f>IFERROR(VLOOKUP($A30,TabelaProdutos[#All],8,FALSE),"Selecione um produto")</f>
        <v>1.5</v>
      </c>
      <c r="H30" s="8">
        <f>IFERROR(VLOOKUP($A30,TabelaProdutos[#All],9,FALSE),"Selecione um produto")</f>
        <v>1.23</v>
      </c>
      <c r="I30" s="22">
        <f>MIN(Orcamento[[#This Row],[Loja 1]:[Loja 7]])</f>
        <v>1</v>
      </c>
      <c r="J30" s="23">
        <f>MAX(Orcamento[[#This Row],[Loja 1]:[Mínimos]])</f>
        <v>10</v>
      </c>
    </row>
    <row r="31" spans="1:10" x14ac:dyDescent="0.25">
      <c r="A31" t="s">
        <v>46</v>
      </c>
      <c r="B31" s="19">
        <f>IFERROR(VLOOKUP(A31,TabelaProdutos[#All],3,FALSE),"Selecione um produto")</f>
        <v>1.99</v>
      </c>
      <c r="C31" s="8">
        <f>IFERROR(VLOOKUP(A31,TabelaProdutos[#All],4,FALSE),"Selecione um produto")</f>
        <v>2.0499999999999998</v>
      </c>
      <c r="D31" s="8">
        <f>IFERROR(VLOOKUP(A31,TabelaProdutos[#All],5,FALSE),"Selecione um produto")</f>
        <v>10</v>
      </c>
      <c r="E31" s="8">
        <f>IFERROR(VLOOKUP($A31,TabelaProdutos[#All],6,FALSE),"Selecione um produto")</f>
        <v>1.5</v>
      </c>
      <c r="F31" s="8">
        <f>IFERROR(VLOOKUP($A31,TabelaProdutos[#All],7,FALSE),"Selecione um produto")</f>
        <v>1.3</v>
      </c>
      <c r="G31" s="8">
        <f>IFERROR(VLOOKUP($A31,TabelaProdutos[#All],8,FALSE),"Selecione um produto")</f>
        <v>1.6</v>
      </c>
      <c r="H31" s="8">
        <f>IFERROR(VLOOKUP($A31,TabelaProdutos[#All],9,FALSE),"Selecione um produto")</f>
        <v>10</v>
      </c>
      <c r="I31" s="22">
        <f>MIN(Orcamento[[#This Row],[Loja 1]:[Loja 7]])</f>
        <v>1.3</v>
      </c>
      <c r="J31" s="23">
        <f>MAX(Orcamento[[#This Row],[Loja 1]:[Mínimos]])</f>
        <v>10</v>
      </c>
    </row>
    <row r="32" spans="1:10" x14ac:dyDescent="0.25">
      <c r="A32" t="s">
        <v>61</v>
      </c>
      <c r="B32" s="19">
        <f>IFERROR(VLOOKUP(A32,TabelaProdutos[#All],3,FALSE),"Selecione um produto")</f>
        <v>20</v>
      </c>
      <c r="C32" s="8">
        <f>IFERROR(VLOOKUP(A32,TabelaProdutos[#All],4,FALSE),"Selecione um produto")</f>
        <v>22</v>
      </c>
      <c r="D32" s="8">
        <f>IFERROR(VLOOKUP(A32,TabelaProdutos[#All],5,FALSE),"Selecione um produto")</f>
        <v>30</v>
      </c>
      <c r="E32" s="8">
        <f>IFERROR(VLOOKUP($A32,TabelaProdutos[#All],6,FALSE),"Selecione um produto")</f>
        <v>21.99</v>
      </c>
      <c r="F32" s="8">
        <f>IFERROR(VLOOKUP($A32,TabelaProdutos[#All],7,FALSE),"Selecione um produto")</f>
        <v>21.9</v>
      </c>
      <c r="G32" s="8">
        <f>IFERROR(VLOOKUP($A32,TabelaProdutos[#All],8,FALSE),"Selecione um produto")</f>
        <v>22.3</v>
      </c>
      <c r="H32" s="8">
        <f>IFERROR(VLOOKUP($A32,TabelaProdutos[#All],9,FALSE),"Selecione um produto")</f>
        <v>22.5</v>
      </c>
      <c r="I32" s="22">
        <f>MIN(Orcamento[[#This Row],[Loja 1]:[Loja 7]])</f>
        <v>20</v>
      </c>
      <c r="J32" s="23">
        <f>MAX(Orcamento[[#This Row],[Loja 1]:[Mínimos]])</f>
        <v>30</v>
      </c>
    </row>
    <row r="33" spans="1:10" x14ac:dyDescent="0.25">
      <c r="A33" t="s">
        <v>46</v>
      </c>
      <c r="B33" s="19">
        <f>IFERROR(VLOOKUP(A33,TabelaProdutos[#All],3,FALSE),"Selecione um produto")</f>
        <v>1.99</v>
      </c>
      <c r="C33" s="8">
        <f>IFERROR(VLOOKUP(A33,TabelaProdutos[#All],4,FALSE),"Selecione um produto")</f>
        <v>2.0499999999999998</v>
      </c>
      <c r="D33" s="8">
        <f>IFERROR(VLOOKUP(A33,TabelaProdutos[#All],5,FALSE),"Selecione um produto")</f>
        <v>10</v>
      </c>
      <c r="E33" s="8">
        <f>IFERROR(VLOOKUP($A33,TabelaProdutos[#All],6,FALSE),"Selecione um produto")</f>
        <v>1.5</v>
      </c>
      <c r="F33" s="8">
        <f>IFERROR(VLOOKUP($A33,TabelaProdutos[#All],7,FALSE),"Selecione um produto")</f>
        <v>1.3</v>
      </c>
      <c r="G33" s="8">
        <f>IFERROR(VLOOKUP($A33,TabelaProdutos[#All],8,FALSE),"Selecione um produto")</f>
        <v>1.6</v>
      </c>
      <c r="H33" s="8">
        <f>IFERROR(VLOOKUP($A33,TabelaProdutos[#All],9,FALSE),"Selecione um produto")</f>
        <v>10</v>
      </c>
      <c r="I33" s="22">
        <f>MIN(Orcamento[[#This Row],[Loja 1]:[Loja 7]])</f>
        <v>1.3</v>
      </c>
      <c r="J33" s="23">
        <f>MAX(Orcamento[[#This Row],[Loja 1]:[Mínimos]])</f>
        <v>10</v>
      </c>
    </row>
    <row r="34" spans="1:10" x14ac:dyDescent="0.25">
      <c r="A34" t="s">
        <v>65</v>
      </c>
      <c r="B34" s="19">
        <f>IFERROR(VLOOKUP(A34,TabelaProdutos[#All],3,FALSE),"Selecione um produto")</f>
        <v>1.29</v>
      </c>
      <c r="C34" s="8">
        <f>IFERROR(VLOOKUP(A34,TabelaProdutos[#All],4,FALSE),"Selecione um produto")</f>
        <v>1</v>
      </c>
      <c r="D34" s="8">
        <f>IFERROR(VLOOKUP(A34,TabelaProdutos[#All],5,FALSE),"Selecione um produto")</f>
        <v>1.2</v>
      </c>
      <c r="E34" s="8">
        <f>IFERROR(VLOOKUP($A34,TabelaProdutos[#All],6,FALSE),"Selecione um produto")</f>
        <v>1.3</v>
      </c>
      <c r="F34" s="8">
        <f>IFERROR(VLOOKUP($A34,TabelaProdutos[#All],7,FALSE),"Selecione um produto")</f>
        <v>10</v>
      </c>
      <c r="G34" s="8">
        <f>IFERROR(VLOOKUP($A34,TabelaProdutos[#All],8,FALSE),"Selecione um produto")</f>
        <v>8</v>
      </c>
      <c r="H34" s="8">
        <f>IFERROR(VLOOKUP($A34,TabelaProdutos[#All],9,FALSE),"Selecione um produto")</f>
        <v>1.4</v>
      </c>
      <c r="I34" s="22">
        <f>MIN(Orcamento[[#This Row],[Loja 1]:[Loja 7]])</f>
        <v>1</v>
      </c>
      <c r="J34" s="23">
        <f>MAX(Orcamento[[#This Row],[Loja 1]:[Mínimos]])</f>
        <v>10</v>
      </c>
    </row>
    <row r="35" spans="1:10" x14ac:dyDescent="0.25">
      <c r="A35" t="s">
        <v>51</v>
      </c>
      <c r="B35" s="19">
        <f>IFERROR(VLOOKUP(A35,TabelaProdutos[#All],3,FALSE),"Selecione um produto")</f>
        <v>10</v>
      </c>
      <c r="C35" s="8">
        <f>IFERROR(VLOOKUP(A35,TabelaProdutos[#All],4,FALSE),"Selecione um produto")</f>
        <v>1</v>
      </c>
      <c r="D35" s="8">
        <f>IFERROR(VLOOKUP(A35,TabelaProdutos[#All],5,FALSE),"Selecione um produto")</f>
        <v>3</v>
      </c>
      <c r="E35" s="8">
        <f>IFERROR(VLOOKUP($A35,TabelaProdutos[#All],6,FALSE),"Selecione um produto")</f>
        <v>1.2</v>
      </c>
      <c r="F35" s="8">
        <f>IFERROR(VLOOKUP($A35,TabelaProdutos[#All],7,FALSE),"Selecione um produto")</f>
        <v>1.3</v>
      </c>
      <c r="G35" s="8">
        <f>IFERROR(VLOOKUP($A35,TabelaProdutos[#All],8,FALSE),"Selecione um produto")</f>
        <v>1.5</v>
      </c>
      <c r="H35" s="8">
        <f>IFERROR(VLOOKUP($A35,TabelaProdutos[#All],9,FALSE),"Selecione um produto")</f>
        <v>1.23</v>
      </c>
      <c r="I35" s="22">
        <f>MIN(Orcamento[[#This Row],[Loja 1]:[Loja 7]])</f>
        <v>1</v>
      </c>
      <c r="J35" s="23">
        <f>MAX(Orcamento[[#This Row],[Loja 1]:[Mínimos]])</f>
        <v>10</v>
      </c>
    </row>
  </sheetData>
  <mergeCells count="11">
    <mergeCell ref="L5:L6"/>
    <mergeCell ref="L9:O9"/>
    <mergeCell ref="I5:I6"/>
    <mergeCell ref="J5:J6"/>
    <mergeCell ref="A1:K1"/>
    <mergeCell ref="K5:K6"/>
    <mergeCell ref="C4:D4"/>
    <mergeCell ref="C3:D3"/>
    <mergeCell ref="E3:F3"/>
    <mergeCell ref="F4:G4"/>
    <mergeCell ref="B2:H2"/>
  </mergeCells>
  <phoneticPr fontId="5" type="noConversion"/>
  <conditionalFormatting sqref="B7:H7">
    <cfRule type="cellIs" dxfId="33" priority="7" operator="equal">
      <formula>MIN($B$7:$H$7)</formula>
    </cfRule>
    <cfRule type="iconSet" priority="155">
      <iconSet iconSet="3Symbols2" reverse="1">
        <cfvo type="percent" val="0"/>
        <cfvo type="percent" val="33"/>
        <cfvo type="percent" val="67"/>
      </iconSet>
    </cfRule>
  </conditionalFormatting>
  <conditionalFormatting sqref="B12">
    <cfRule type="cellIs" dxfId="32" priority="153" operator="equal">
      <formula>MIN(A1:G1)</formula>
    </cfRule>
  </conditionalFormatting>
  <conditionalFormatting sqref="B21">
    <cfRule type="cellIs" dxfId="31" priority="152" operator="equal">
      <formula>MIN(A1:G1)</formula>
    </cfRule>
  </conditionalFormatting>
  <conditionalFormatting sqref="B23">
    <cfRule type="cellIs" dxfId="30" priority="151" operator="equal">
      <formula>MIN(A1:G1)</formula>
    </cfRule>
  </conditionalFormatting>
  <conditionalFormatting sqref="B25">
    <cfRule type="cellIs" dxfId="29" priority="150" operator="equal">
      <formula>MIN(A1:G1)</formula>
    </cfRule>
  </conditionalFormatting>
  <conditionalFormatting sqref="B27">
    <cfRule type="cellIs" dxfId="28" priority="149" operator="equal">
      <formula>MIN(A1:G1)</formula>
    </cfRule>
  </conditionalFormatting>
  <conditionalFormatting sqref="B11">
    <cfRule type="cellIs" dxfId="27" priority="9" stopIfTrue="1" operator="equal">
      <formula>Mínimo(A1:G1)</formula>
    </cfRule>
    <cfRule type="cellIs" dxfId="26" priority="10" stopIfTrue="1" operator="equal">
      <formula>Mínimo(A1:G1)</formula>
    </cfRule>
  </conditionalFormatting>
  <conditionalFormatting sqref="B11:H11">
    <cfRule type="cellIs" dxfId="25" priority="8" stopIfTrue="1" operator="equal">
      <formula>Mínimo(A1:G1)</formula>
    </cfRule>
  </conditionalFormatting>
  <conditionalFormatting sqref="N13:O1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N1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:O1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:O1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:N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4">
    <dataValidation type="list" allowBlank="1" showInputMessage="1" showErrorMessage="1" sqref="A10:A38" xr:uid="{06C2E40F-B552-4FA8-B8E6-A2B9B57C9A4D}">
      <formula1>ProdutosNome</formula1>
    </dataValidation>
    <dataValidation type="list" allowBlank="1" showInputMessage="1" showErrorMessage="1" sqref="B6:H6 B9:H9" xr:uid="{ACBA672E-F2E5-4C7E-9EF9-60716F9E7266}">
      <formula1>Fornecedores</formula1>
    </dataValidation>
    <dataValidation type="list" allowBlank="1" showInputMessage="1" showErrorMessage="1" sqref="L11:L13" xr:uid="{1CCA7752-FA07-4634-918A-2D908C942E54}">
      <formula1>Trabalhador</formula1>
    </dataValidation>
    <dataValidation type="list" allowBlank="1" showInputMessage="1" showErrorMessage="1" sqref="M11:M13" xr:uid="{67C1F7A5-136A-4727-AADC-4594138D7730}">
      <formula1>MedidasTrabalhador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1FB99-54BB-457F-95B3-71F0034117A8}">
  <sheetPr codeName="Planilha2"/>
  <dimension ref="A1:H79"/>
  <sheetViews>
    <sheetView workbookViewId="0">
      <selection activeCell="E12" sqref="E12"/>
    </sheetView>
  </sheetViews>
  <sheetFormatPr defaultRowHeight="15" x14ac:dyDescent="0.25"/>
  <cols>
    <col min="4" max="4" width="11.5703125" bestFit="1" customWidth="1"/>
    <col min="5" max="6" width="12" bestFit="1" customWidth="1"/>
    <col min="7" max="7" width="12.140625" bestFit="1" customWidth="1"/>
    <col min="8" max="8" width="13.7109375" bestFit="1" customWidth="1"/>
  </cols>
  <sheetData>
    <row r="1" spans="1:8" x14ac:dyDescent="0.25">
      <c r="A1" s="36" t="s">
        <v>22</v>
      </c>
      <c r="B1" s="36"/>
      <c r="C1" s="36"/>
      <c r="D1" s="36"/>
      <c r="E1" t="s">
        <v>10</v>
      </c>
      <c r="F1">
        <f>(F5+F12+F19+F26+F33+F40+F47+F54+F61+F70)</f>
        <v>204.86828571428566</v>
      </c>
      <c r="G1" t="s">
        <v>24</v>
      </c>
      <c r="H1" s="4">
        <v>0.5</v>
      </c>
    </row>
    <row r="2" spans="1:8" x14ac:dyDescent="0.25">
      <c r="A2" s="36"/>
      <c r="B2" s="36"/>
      <c r="C2" s="36"/>
      <c r="D2" s="36"/>
      <c r="E2" t="s">
        <v>23</v>
      </c>
      <c r="F2" s="3">
        <f>(H5+H12+H19+H26+H33+H40+H47+H54+H61+H70)</f>
        <v>7701.8152524167544</v>
      </c>
      <c r="G2" t="s">
        <v>25</v>
      </c>
      <c r="H2" s="4">
        <f>(F2*H1)</f>
        <v>3850.9076262083772</v>
      </c>
    </row>
    <row r="3" spans="1:8" x14ac:dyDescent="0.25">
      <c r="A3" s="37" t="s">
        <v>26</v>
      </c>
      <c r="B3" s="38" t="s">
        <v>27</v>
      </c>
      <c r="C3">
        <f>(0.14*0.19)</f>
        <v>2.6600000000000002E-2</v>
      </c>
    </row>
    <row r="4" spans="1:8" x14ac:dyDescent="0.25">
      <c r="A4" s="37"/>
      <c r="B4" s="38"/>
    </row>
    <row r="5" spans="1:8" ht="21" x14ac:dyDescent="0.35">
      <c r="A5" s="35" t="s">
        <v>11</v>
      </c>
      <c r="B5" s="35"/>
      <c r="C5" s="35"/>
      <c r="D5" s="35"/>
      <c r="E5" s="2" t="s">
        <v>10</v>
      </c>
      <c r="F5" s="1">
        <f>(H7+H8+H9+H10)</f>
        <v>39.040000000000006</v>
      </c>
      <c r="G5" s="2" t="s">
        <v>12</v>
      </c>
      <c r="H5" s="1">
        <f>(F5/C3)</f>
        <v>1467.6691729323309</v>
      </c>
    </row>
    <row r="6" spans="1:8" x14ac:dyDescent="0.25">
      <c r="B6" t="s">
        <v>4</v>
      </c>
      <c r="C6" t="s">
        <v>5</v>
      </c>
      <c r="D6" t="s">
        <v>6</v>
      </c>
      <c r="E6" t="s">
        <v>7</v>
      </c>
      <c r="F6" t="s">
        <v>9</v>
      </c>
      <c r="G6" t="s">
        <v>8</v>
      </c>
      <c r="H6" t="s">
        <v>10</v>
      </c>
    </row>
    <row r="7" spans="1:8" x14ac:dyDescent="0.25">
      <c r="A7" t="s">
        <v>0</v>
      </c>
      <c r="B7">
        <v>4</v>
      </c>
      <c r="C7">
        <v>2.8</v>
      </c>
      <c r="D7">
        <v>0</v>
      </c>
      <c r="E7">
        <v>0</v>
      </c>
      <c r="F7">
        <v>0</v>
      </c>
      <c r="G7">
        <v>0</v>
      </c>
      <c r="H7">
        <f>(B7*C7-(D7*E7)-(F7*G7))</f>
        <v>11.2</v>
      </c>
    </row>
    <row r="8" spans="1:8" x14ac:dyDescent="0.25">
      <c r="A8" t="s">
        <v>1</v>
      </c>
      <c r="B8">
        <v>4.1500000000000004</v>
      </c>
      <c r="C8">
        <v>2.8</v>
      </c>
      <c r="D8">
        <v>0</v>
      </c>
      <c r="E8">
        <v>0</v>
      </c>
      <c r="F8">
        <v>0</v>
      </c>
      <c r="G8">
        <v>0</v>
      </c>
      <c r="H8">
        <f t="shared" ref="H8:H10" si="0">(B8*C8-(D8*E8)-(F8*G8))</f>
        <v>11.620000000000001</v>
      </c>
    </row>
    <row r="9" spans="1:8" x14ac:dyDescent="0.25">
      <c r="A9" t="s">
        <v>2</v>
      </c>
      <c r="B9">
        <v>4.1500000000000004</v>
      </c>
      <c r="C9">
        <v>2.8</v>
      </c>
      <c r="D9">
        <v>1</v>
      </c>
      <c r="E9">
        <v>2.1</v>
      </c>
      <c r="F9">
        <v>0</v>
      </c>
      <c r="G9">
        <v>0</v>
      </c>
      <c r="H9">
        <f t="shared" si="0"/>
        <v>9.5200000000000014</v>
      </c>
    </row>
    <row r="10" spans="1:8" x14ac:dyDescent="0.25">
      <c r="A10" t="s">
        <v>3</v>
      </c>
      <c r="B10">
        <v>4</v>
      </c>
      <c r="C10">
        <v>2.8</v>
      </c>
      <c r="D10">
        <v>1</v>
      </c>
      <c r="E10">
        <v>2.1</v>
      </c>
      <c r="F10">
        <v>2</v>
      </c>
      <c r="G10">
        <v>1.2</v>
      </c>
      <c r="H10">
        <f t="shared" si="0"/>
        <v>6.6999999999999993</v>
      </c>
    </row>
    <row r="12" spans="1:8" ht="21" x14ac:dyDescent="0.35">
      <c r="A12" s="35" t="s">
        <v>13</v>
      </c>
      <c r="B12" s="35"/>
      <c r="C12" s="35"/>
      <c r="D12" s="35"/>
      <c r="E12" s="2" t="s">
        <v>10</v>
      </c>
      <c r="F12" s="1">
        <f>(H14+H15+H16+H17)</f>
        <v>14.199999999999996</v>
      </c>
      <c r="G12" s="2" t="s">
        <v>12</v>
      </c>
      <c r="H12" s="1">
        <f>(F12/C3)</f>
        <v>533.83458646616521</v>
      </c>
    </row>
    <row r="13" spans="1:8" x14ac:dyDescent="0.25">
      <c r="B13" t="s">
        <v>4</v>
      </c>
      <c r="C13" t="s">
        <v>5</v>
      </c>
      <c r="D13" t="s">
        <v>6</v>
      </c>
      <c r="E13" t="s">
        <v>7</v>
      </c>
      <c r="F13" t="s">
        <v>9</v>
      </c>
      <c r="G13" t="s">
        <v>8</v>
      </c>
      <c r="H13" t="s">
        <v>10</v>
      </c>
    </row>
    <row r="14" spans="1:8" x14ac:dyDescent="0.25">
      <c r="A14" t="s">
        <v>0</v>
      </c>
      <c r="B14">
        <v>1.4</v>
      </c>
      <c r="C14">
        <v>2.8</v>
      </c>
      <c r="D14">
        <v>0.8</v>
      </c>
      <c r="E14">
        <v>2.1</v>
      </c>
      <c r="F14">
        <v>0</v>
      </c>
      <c r="G14">
        <v>0</v>
      </c>
      <c r="H14">
        <f>(B14*C14-(D14*E14)-(F14*G14))</f>
        <v>2.2399999999999993</v>
      </c>
    </row>
    <row r="15" spans="1:8" x14ac:dyDescent="0.25">
      <c r="A15" t="s">
        <v>1</v>
      </c>
      <c r="B15">
        <v>3</v>
      </c>
      <c r="C15">
        <v>2.8</v>
      </c>
      <c r="D15">
        <v>0</v>
      </c>
      <c r="E15">
        <v>0</v>
      </c>
      <c r="F15">
        <v>0</v>
      </c>
      <c r="G15">
        <v>0</v>
      </c>
      <c r="H15">
        <f t="shared" ref="H15:H16" si="1">(B15*C15-(D15*E15)-(F15*G15))</f>
        <v>8.3999999999999986</v>
      </c>
    </row>
    <row r="16" spans="1:8" x14ac:dyDescent="0.25">
      <c r="A16" t="s">
        <v>2</v>
      </c>
      <c r="B16">
        <v>1.4</v>
      </c>
      <c r="C16">
        <v>2.8</v>
      </c>
      <c r="D16">
        <v>0.6</v>
      </c>
      <c r="E16">
        <v>0.6</v>
      </c>
      <c r="F16">
        <v>0</v>
      </c>
      <c r="G16">
        <v>0</v>
      </c>
      <c r="H16">
        <f t="shared" si="1"/>
        <v>3.5599999999999996</v>
      </c>
    </row>
    <row r="19" spans="1:8" ht="21" x14ac:dyDescent="0.35">
      <c r="A19" s="35" t="s">
        <v>14</v>
      </c>
      <c r="B19" s="35"/>
      <c r="C19" s="35"/>
      <c r="D19" s="35"/>
      <c r="E19" s="2" t="s">
        <v>10</v>
      </c>
      <c r="F19" s="1">
        <f>(H21+H22+H23+H24)</f>
        <v>19.779999999999998</v>
      </c>
      <c r="G19" s="2" t="s">
        <v>12</v>
      </c>
      <c r="H19" s="1">
        <f>(F19/C3)</f>
        <v>743.60902255639087</v>
      </c>
    </row>
    <row r="20" spans="1:8" x14ac:dyDescent="0.25">
      <c r="B20" t="s">
        <v>4</v>
      </c>
      <c r="C20" t="s">
        <v>5</v>
      </c>
      <c r="D20" t="s">
        <v>6</v>
      </c>
      <c r="E20" t="s">
        <v>7</v>
      </c>
      <c r="F20" t="s">
        <v>9</v>
      </c>
      <c r="G20" t="s">
        <v>8</v>
      </c>
      <c r="H20" t="s">
        <v>10</v>
      </c>
    </row>
    <row r="21" spans="1:8" x14ac:dyDescent="0.25">
      <c r="A21" t="s">
        <v>0</v>
      </c>
      <c r="B21">
        <v>2.6</v>
      </c>
      <c r="C21">
        <v>2.8</v>
      </c>
      <c r="D21">
        <v>0</v>
      </c>
      <c r="E21">
        <v>0</v>
      </c>
      <c r="F21">
        <v>0</v>
      </c>
      <c r="G21">
        <v>0</v>
      </c>
      <c r="H21">
        <f>(B21*C21-(D21*E21)-(F21*G21))</f>
        <v>7.2799999999999994</v>
      </c>
    </row>
    <row r="22" spans="1:8" x14ac:dyDescent="0.25">
      <c r="A22" t="s">
        <v>1</v>
      </c>
      <c r="B22">
        <v>3</v>
      </c>
      <c r="C22">
        <v>2.8</v>
      </c>
      <c r="D22">
        <v>0.8</v>
      </c>
      <c r="E22">
        <v>2.1</v>
      </c>
      <c r="F22">
        <v>0</v>
      </c>
      <c r="G22">
        <v>0</v>
      </c>
      <c r="H22">
        <f t="shared" ref="H22:H24" si="2">(B22*C22-(D22*E22)-(F22*G22))</f>
        <v>6.7199999999999989</v>
      </c>
    </row>
    <row r="23" spans="1:8" x14ac:dyDescent="0.25">
      <c r="A23" t="s">
        <v>2</v>
      </c>
      <c r="B23">
        <v>2.6</v>
      </c>
      <c r="C23">
        <v>2.8</v>
      </c>
      <c r="D23">
        <v>1.5</v>
      </c>
      <c r="E23">
        <v>1</v>
      </c>
      <c r="F23">
        <v>0</v>
      </c>
      <c r="G23">
        <v>0</v>
      </c>
      <c r="H23">
        <f t="shared" si="2"/>
        <v>5.7799999999999994</v>
      </c>
    </row>
    <row r="24" spans="1:8" x14ac:dyDescent="0.25">
      <c r="A24" t="s">
        <v>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f t="shared" si="2"/>
        <v>0</v>
      </c>
    </row>
    <row r="26" spans="1:8" ht="21" x14ac:dyDescent="0.35">
      <c r="A26" s="35" t="s">
        <v>15</v>
      </c>
      <c r="B26" s="35"/>
      <c r="C26" s="35"/>
      <c r="D26" s="35"/>
      <c r="E26" s="2" t="s">
        <v>10</v>
      </c>
      <c r="F26" s="1">
        <f>(H28+H29+H30+H31)</f>
        <v>28.18</v>
      </c>
      <c r="G26" s="2" t="s">
        <v>12</v>
      </c>
      <c r="H26" s="1">
        <f>(F26/C3)</f>
        <v>1059.3984962406014</v>
      </c>
    </row>
    <row r="27" spans="1:8" x14ac:dyDescent="0.25">
      <c r="B27" t="s">
        <v>4</v>
      </c>
      <c r="C27" t="s">
        <v>5</v>
      </c>
      <c r="D27" t="s">
        <v>6</v>
      </c>
      <c r="E27" t="s">
        <v>7</v>
      </c>
      <c r="F27" t="s">
        <v>9</v>
      </c>
      <c r="G27" t="s">
        <v>8</v>
      </c>
      <c r="H27" t="s">
        <v>10</v>
      </c>
    </row>
    <row r="28" spans="1:8" x14ac:dyDescent="0.25">
      <c r="A28" t="s">
        <v>0</v>
      </c>
      <c r="B28">
        <v>3</v>
      </c>
      <c r="C28">
        <v>2.8</v>
      </c>
      <c r="D28">
        <v>0</v>
      </c>
      <c r="E28">
        <v>0</v>
      </c>
      <c r="F28">
        <v>0</v>
      </c>
      <c r="G28">
        <v>0</v>
      </c>
      <c r="H28">
        <f>(B28*C28-(D28*E28)-(F28*G28))</f>
        <v>8.3999999999999986</v>
      </c>
    </row>
    <row r="29" spans="1:8" x14ac:dyDescent="0.25">
      <c r="A29" t="s">
        <v>1</v>
      </c>
      <c r="B29">
        <v>2.6</v>
      </c>
      <c r="C29">
        <v>2.8</v>
      </c>
      <c r="D29">
        <v>0.8</v>
      </c>
      <c r="E29">
        <v>2.1</v>
      </c>
      <c r="F29">
        <v>0</v>
      </c>
      <c r="G29">
        <v>0</v>
      </c>
      <c r="H29">
        <f t="shared" ref="H29:H31" si="3">(B29*C29-(D29*E29)-(F29*G29))</f>
        <v>5.6</v>
      </c>
    </row>
    <row r="30" spans="1:8" x14ac:dyDescent="0.25">
      <c r="A30" t="s">
        <v>2</v>
      </c>
      <c r="B30">
        <v>3</v>
      </c>
      <c r="C30">
        <v>2.8</v>
      </c>
      <c r="D30">
        <v>0</v>
      </c>
      <c r="E30">
        <v>0</v>
      </c>
      <c r="F30">
        <v>0</v>
      </c>
      <c r="G30">
        <v>0</v>
      </c>
      <c r="H30">
        <f t="shared" si="3"/>
        <v>8.3999999999999986</v>
      </c>
    </row>
    <row r="31" spans="1:8" x14ac:dyDescent="0.25">
      <c r="A31" t="s">
        <v>3</v>
      </c>
      <c r="B31">
        <v>2.6</v>
      </c>
      <c r="C31">
        <v>2.8</v>
      </c>
      <c r="D31">
        <v>1.5</v>
      </c>
      <c r="E31">
        <v>1</v>
      </c>
      <c r="F31">
        <v>0</v>
      </c>
      <c r="G31">
        <v>0</v>
      </c>
      <c r="H31">
        <f t="shared" si="3"/>
        <v>5.7799999999999994</v>
      </c>
    </row>
    <row r="33" spans="1:8" ht="21" x14ac:dyDescent="0.35">
      <c r="A33" s="35" t="s">
        <v>16</v>
      </c>
      <c r="B33" s="35"/>
      <c r="C33" s="35"/>
      <c r="D33" s="35"/>
      <c r="E33" s="2" t="s">
        <v>10</v>
      </c>
      <c r="F33" s="1">
        <f>(H35+H36+H37+H38)</f>
        <v>15.119999999999996</v>
      </c>
      <c r="G33" s="2" t="s">
        <v>12</v>
      </c>
      <c r="H33" s="1">
        <f>(F33/C3)</f>
        <v>568.42105263157873</v>
      </c>
    </row>
    <row r="34" spans="1:8" x14ac:dyDescent="0.25">
      <c r="B34" t="s">
        <v>4</v>
      </c>
      <c r="C34" t="s">
        <v>5</v>
      </c>
      <c r="D34" t="s">
        <v>6</v>
      </c>
      <c r="E34" t="s">
        <v>7</v>
      </c>
      <c r="F34" t="s">
        <v>9</v>
      </c>
      <c r="G34" t="s">
        <v>8</v>
      </c>
      <c r="H34" t="s">
        <v>10</v>
      </c>
    </row>
    <row r="35" spans="1:8" x14ac:dyDescent="0.25">
      <c r="A35" t="s">
        <v>0</v>
      </c>
      <c r="B35">
        <v>2.5499999999999998</v>
      </c>
      <c r="C35">
        <v>2.8</v>
      </c>
      <c r="D35">
        <v>2</v>
      </c>
      <c r="E35">
        <v>2.1</v>
      </c>
      <c r="F35">
        <v>0</v>
      </c>
      <c r="G35">
        <v>0</v>
      </c>
      <c r="H35">
        <f>(B35*C35-(D35*E35)-(F35*G35))</f>
        <v>2.9399999999999986</v>
      </c>
    </row>
    <row r="36" spans="1:8" x14ac:dyDescent="0.25">
      <c r="A36" t="s">
        <v>1</v>
      </c>
      <c r="B36">
        <v>3</v>
      </c>
      <c r="C36">
        <v>2.8</v>
      </c>
      <c r="D36">
        <v>0.8</v>
      </c>
      <c r="E36">
        <v>2.1</v>
      </c>
      <c r="F36">
        <v>0</v>
      </c>
      <c r="G36">
        <v>0</v>
      </c>
      <c r="H36">
        <f t="shared" ref="H36:H38" si="4">(B36*C36-(D36*E36)-(F36*G36))</f>
        <v>6.7199999999999989</v>
      </c>
    </row>
    <row r="37" spans="1:8" x14ac:dyDescent="0.25">
      <c r="A37" t="s">
        <v>2</v>
      </c>
      <c r="B37">
        <v>2.5499999999999998</v>
      </c>
      <c r="C37">
        <v>2.8</v>
      </c>
      <c r="D37">
        <v>0.8</v>
      </c>
      <c r="E37">
        <v>2.1</v>
      </c>
      <c r="F37">
        <v>0</v>
      </c>
      <c r="G37">
        <v>0</v>
      </c>
      <c r="H37">
        <f t="shared" si="4"/>
        <v>5.4599999999999991</v>
      </c>
    </row>
    <row r="38" spans="1:8" x14ac:dyDescent="0.25">
      <c r="A38" t="s">
        <v>3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f t="shared" si="4"/>
        <v>0</v>
      </c>
    </row>
    <row r="40" spans="1:8" ht="21" x14ac:dyDescent="0.35">
      <c r="A40" s="35" t="s">
        <v>17</v>
      </c>
      <c r="B40" s="35"/>
      <c r="C40" s="35"/>
      <c r="D40" s="35"/>
      <c r="E40" s="2" t="s">
        <v>10</v>
      </c>
      <c r="F40" s="1">
        <f>(H42+H43+H44+H45)</f>
        <v>16.183999999999997</v>
      </c>
      <c r="G40" s="2" t="s">
        <v>12</v>
      </c>
      <c r="H40" s="1">
        <f>(F40/C3)</f>
        <v>608.42105263157885</v>
      </c>
    </row>
    <row r="41" spans="1:8" x14ac:dyDescent="0.25">
      <c r="B41" t="s">
        <v>4</v>
      </c>
      <c r="C41" t="s">
        <v>5</v>
      </c>
      <c r="D41" t="s">
        <v>6</v>
      </c>
      <c r="E41" t="s">
        <v>7</v>
      </c>
      <c r="F41" t="s">
        <v>9</v>
      </c>
      <c r="G41" t="s">
        <v>8</v>
      </c>
      <c r="H41" t="s">
        <v>10</v>
      </c>
    </row>
    <row r="42" spans="1:8" x14ac:dyDescent="0.25">
      <c r="A42" t="s">
        <v>0</v>
      </c>
      <c r="B42">
        <v>1.8</v>
      </c>
      <c r="C42">
        <v>2.8</v>
      </c>
      <c r="D42">
        <v>0.8</v>
      </c>
      <c r="E42">
        <v>2.1</v>
      </c>
      <c r="F42">
        <v>0</v>
      </c>
      <c r="G42">
        <v>0</v>
      </c>
      <c r="H42">
        <f>(B42*C42-(D42*E42)-(F42*G42))</f>
        <v>3.36</v>
      </c>
    </row>
    <row r="43" spans="1:8" x14ac:dyDescent="0.25">
      <c r="A43" t="s">
        <v>1</v>
      </c>
      <c r="B43">
        <v>1.79</v>
      </c>
      <c r="C43">
        <v>2.8</v>
      </c>
      <c r="D43">
        <v>0</v>
      </c>
      <c r="E43">
        <v>0</v>
      </c>
      <c r="F43">
        <v>0</v>
      </c>
      <c r="G43">
        <v>0</v>
      </c>
      <c r="H43">
        <f t="shared" ref="H43:H45" si="5">(B43*C43-(D43*E43)-(F43*G43))</f>
        <v>5.0119999999999996</v>
      </c>
    </row>
    <row r="44" spans="1:8" x14ac:dyDescent="0.25">
      <c r="A44" t="s">
        <v>2</v>
      </c>
      <c r="B44">
        <v>1.8</v>
      </c>
      <c r="C44">
        <v>2.8</v>
      </c>
      <c r="D44">
        <v>0</v>
      </c>
      <c r="E44">
        <v>0</v>
      </c>
      <c r="F44">
        <v>0</v>
      </c>
      <c r="G44">
        <v>0</v>
      </c>
      <c r="H44">
        <f t="shared" si="5"/>
        <v>5.04</v>
      </c>
    </row>
    <row r="45" spans="1:8" x14ac:dyDescent="0.25">
      <c r="A45" t="s">
        <v>3</v>
      </c>
      <c r="B45">
        <v>1.79</v>
      </c>
      <c r="C45">
        <v>2.8</v>
      </c>
      <c r="D45">
        <v>0.8</v>
      </c>
      <c r="E45">
        <v>2.8</v>
      </c>
      <c r="F45">
        <v>0</v>
      </c>
      <c r="G45">
        <v>0</v>
      </c>
      <c r="H45">
        <f t="shared" si="5"/>
        <v>2.7719999999999998</v>
      </c>
    </row>
    <row r="47" spans="1:8" ht="21" x14ac:dyDescent="0.35">
      <c r="A47" s="35" t="s">
        <v>17</v>
      </c>
      <c r="B47" s="35"/>
      <c r="C47" s="35"/>
      <c r="D47" s="35"/>
      <c r="E47" s="2" t="s">
        <v>10</v>
      </c>
      <c r="F47" s="1">
        <f>(H49+H50+H51+H52)</f>
        <v>20.259999999999998</v>
      </c>
      <c r="G47" s="2" t="s">
        <v>12</v>
      </c>
      <c r="H47" s="1">
        <f>(F47/C3)</f>
        <v>761.65413533834578</v>
      </c>
    </row>
    <row r="48" spans="1:8" x14ac:dyDescent="0.25">
      <c r="B48" t="s">
        <v>4</v>
      </c>
      <c r="C48" t="s">
        <v>5</v>
      </c>
      <c r="D48" t="s">
        <v>6</v>
      </c>
      <c r="E48" t="s">
        <v>7</v>
      </c>
      <c r="F48" t="s">
        <v>9</v>
      </c>
      <c r="G48" t="s">
        <v>8</v>
      </c>
      <c r="H48" t="s">
        <v>10</v>
      </c>
    </row>
    <row r="49" spans="1:8" x14ac:dyDescent="0.25">
      <c r="A49" t="s">
        <v>0</v>
      </c>
      <c r="B49">
        <v>3</v>
      </c>
      <c r="C49">
        <v>2.8</v>
      </c>
      <c r="D49">
        <v>0</v>
      </c>
      <c r="E49">
        <v>0</v>
      </c>
      <c r="F49">
        <v>0</v>
      </c>
      <c r="G49">
        <v>0</v>
      </c>
      <c r="H49">
        <f>(B49*C49-(D49*E49)-(F49*G49))</f>
        <v>8.3999999999999986</v>
      </c>
    </row>
    <row r="50" spans="1:8" x14ac:dyDescent="0.25">
      <c r="A50" t="s">
        <v>1</v>
      </c>
      <c r="B50">
        <v>1.8</v>
      </c>
      <c r="C50">
        <v>2.8</v>
      </c>
      <c r="D50">
        <v>1</v>
      </c>
      <c r="E50">
        <v>0.6</v>
      </c>
      <c r="F50">
        <v>0</v>
      </c>
      <c r="G50">
        <v>0</v>
      </c>
      <c r="H50">
        <f t="shared" ref="H50:H52" si="6">(B50*C50-(D50*E50)-(F50*G50))</f>
        <v>4.4400000000000004</v>
      </c>
    </row>
    <row r="51" spans="1:8" x14ac:dyDescent="0.25">
      <c r="A51" t="s">
        <v>2</v>
      </c>
      <c r="B51">
        <v>1.8</v>
      </c>
      <c r="C51">
        <v>2.8</v>
      </c>
      <c r="D51">
        <v>0</v>
      </c>
      <c r="E51">
        <v>0</v>
      </c>
      <c r="F51">
        <v>0</v>
      </c>
      <c r="G51">
        <v>0</v>
      </c>
      <c r="H51">
        <f t="shared" si="6"/>
        <v>5.04</v>
      </c>
    </row>
    <row r="52" spans="1:8" x14ac:dyDescent="0.25">
      <c r="A52" t="s">
        <v>3</v>
      </c>
      <c r="B52">
        <v>0.85</v>
      </c>
      <c r="C52">
        <v>2.8</v>
      </c>
      <c r="D52">
        <v>0</v>
      </c>
      <c r="E52">
        <v>0</v>
      </c>
      <c r="F52">
        <v>0</v>
      </c>
      <c r="G52">
        <v>0</v>
      </c>
      <c r="H52">
        <f t="shared" si="6"/>
        <v>2.38</v>
      </c>
    </row>
    <row r="54" spans="1:8" ht="21" x14ac:dyDescent="0.35">
      <c r="A54" s="35" t="s">
        <v>18</v>
      </c>
      <c r="B54" s="35"/>
      <c r="C54" s="35"/>
      <c r="D54" s="35"/>
      <c r="E54" s="2" t="s">
        <v>10</v>
      </c>
      <c r="F54" s="1">
        <f>(H56+H57+H58+H59)</f>
        <v>14.411999999999999</v>
      </c>
      <c r="G54" s="2" t="s">
        <v>12</v>
      </c>
      <c r="H54" s="1">
        <f>(F54/0.0266)</f>
        <v>541.80451127819549</v>
      </c>
    </row>
    <row r="55" spans="1:8" x14ac:dyDescent="0.25">
      <c r="B55" t="s">
        <v>4</v>
      </c>
      <c r="C55" t="s">
        <v>5</v>
      </c>
      <c r="D55" t="s">
        <v>6</v>
      </c>
      <c r="E55" t="s">
        <v>7</v>
      </c>
      <c r="F55" t="s">
        <v>9</v>
      </c>
      <c r="G55" t="s">
        <v>8</v>
      </c>
      <c r="H55" t="s">
        <v>10</v>
      </c>
    </row>
    <row r="56" spans="1:8" x14ac:dyDescent="0.25">
      <c r="A56" t="s">
        <v>0</v>
      </c>
      <c r="B56">
        <v>2.5</v>
      </c>
      <c r="C56">
        <v>2.8</v>
      </c>
      <c r="D56">
        <v>0</v>
      </c>
      <c r="E56">
        <v>0</v>
      </c>
      <c r="F56">
        <v>0</v>
      </c>
      <c r="G56">
        <v>0</v>
      </c>
      <c r="H56">
        <f>(B56*C56-(D56*E56)-(F56*G56))</f>
        <v>7</v>
      </c>
    </row>
    <row r="57" spans="1:8" x14ac:dyDescent="0.25">
      <c r="A57" t="s">
        <v>1</v>
      </c>
      <c r="B57">
        <v>2.99</v>
      </c>
      <c r="C57">
        <v>2.8</v>
      </c>
      <c r="D57">
        <v>0.4</v>
      </c>
      <c r="E57">
        <v>1.2</v>
      </c>
      <c r="F57">
        <v>0.4</v>
      </c>
      <c r="G57">
        <v>1.2</v>
      </c>
      <c r="H57">
        <f t="shared" ref="H57:H59" si="7">(B57*C57-(D57*E57)-(F57*G57))</f>
        <v>7.411999999999999</v>
      </c>
    </row>
    <row r="58" spans="1:8" x14ac:dyDescent="0.25">
      <c r="A58" t="s">
        <v>2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f t="shared" si="7"/>
        <v>0</v>
      </c>
    </row>
    <row r="59" spans="1:8" x14ac:dyDescent="0.25">
      <c r="A59" t="s">
        <v>3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f t="shared" si="7"/>
        <v>0</v>
      </c>
    </row>
    <row r="61" spans="1:8" ht="21" x14ac:dyDescent="0.35">
      <c r="A61" s="35" t="s">
        <v>19</v>
      </c>
      <c r="B61" s="35"/>
      <c r="C61" s="35"/>
      <c r="D61" s="35"/>
      <c r="E61" s="2" t="s">
        <v>10</v>
      </c>
      <c r="F61" s="1">
        <f>(H63+H64+H65+H66)</f>
        <v>25.059999999999995</v>
      </c>
      <c r="G61" s="2" t="s">
        <v>12</v>
      </c>
      <c r="H61" s="1">
        <f>(F61/C3)</f>
        <v>942.10526315789446</v>
      </c>
    </row>
    <row r="62" spans="1:8" x14ac:dyDescent="0.25">
      <c r="B62" t="s">
        <v>4</v>
      </c>
      <c r="C62" t="s">
        <v>5</v>
      </c>
      <c r="D62" t="s">
        <v>6</v>
      </c>
      <c r="E62" t="s">
        <v>7</v>
      </c>
      <c r="F62" t="s">
        <v>9</v>
      </c>
      <c r="G62" t="s">
        <v>8</v>
      </c>
      <c r="H62" t="s">
        <v>10</v>
      </c>
    </row>
    <row r="63" spans="1:8" x14ac:dyDescent="0.25">
      <c r="A63" t="s">
        <v>0</v>
      </c>
      <c r="B63">
        <v>4.3</v>
      </c>
      <c r="C63">
        <v>2.8</v>
      </c>
      <c r="D63">
        <v>2</v>
      </c>
      <c r="E63">
        <v>2.1</v>
      </c>
      <c r="F63">
        <v>0</v>
      </c>
      <c r="G63">
        <v>0</v>
      </c>
      <c r="H63">
        <f>(B63*C63-(D63*E63)-(F63*G63))</f>
        <v>7.839999999999999</v>
      </c>
    </row>
    <row r="64" spans="1:8" x14ac:dyDescent="0.25">
      <c r="A64" t="s">
        <v>1</v>
      </c>
      <c r="B64">
        <v>3</v>
      </c>
      <c r="C64">
        <v>2.8</v>
      </c>
      <c r="D64">
        <v>0</v>
      </c>
      <c r="E64">
        <v>0</v>
      </c>
      <c r="F64">
        <v>0</v>
      </c>
      <c r="G64">
        <v>0</v>
      </c>
      <c r="H64">
        <f t="shared" ref="H64:H66" si="8">(B64*C64-(D64*E64)-(F64*G64))</f>
        <v>8.3999999999999986</v>
      </c>
    </row>
    <row r="65" spans="1:8" x14ac:dyDescent="0.25">
      <c r="A65" t="s">
        <v>2</v>
      </c>
      <c r="B65">
        <v>2</v>
      </c>
      <c r="C65">
        <v>2.8</v>
      </c>
      <c r="D65">
        <v>0</v>
      </c>
      <c r="E65">
        <v>0</v>
      </c>
      <c r="F65">
        <v>0</v>
      </c>
      <c r="G65">
        <v>0</v>
      </c>
      <c r="H65">
        <f t="shared" si="8"/>
        <v>5.6</v>
      </c>
    </row>
    <row r="66" spans="1:8" x14ac:dyDescent="0.25">
      <c r="A66" t="s">
        <v>3</v>
      </c>
      <c r="B66">
        <v>1.75</v>
      </c>
      <c r="C66">
        <v>2.8</v>
      </c>
      <c r="D66">
        <v>0.8</v>
      </c>
      <c r="E66">
        <v>2.1</v>
      </c>
      <c r="F66">
        <v>0</v>
      </c>
      <c r="G66">
        <v>0</v>
      </c>
      <c r="H66">
        <f t="shared" si="8"/>
        <v>3.2199999999999993</v>
      </c>
    </row>
    <row r="67" spans="1:8" x14ac:dyDescent="0.25">
      <c r="A67" t="s">
        <v>20</v>
      </c>
      <c r="B67">
        <v>2.15</v>
      </c>
      <c r="C67">
        <v>2.8</v>
      </c>
      <c r="D67">
        <v>0.8</v>
      </c>
      <c r="E67">
        <v>2.1</v>
      </c>
      <c r="F67">
        <v>0.8</v>
      </c>
      <c r="G67">
        <v>2.1</v>
      </c>
      <c r="H67">
        <f t="shared" ref="H67:H68" si="9">(B67*C67-(D67*E67)-(F67*G67))</f>
        <v>2.6599999999999997</v>
      </c>
    </row>
    <row r="68" spans="1:8" x14ac:dyDescent="0.25">
      <c r="A68" t="s">
        <v>21</v>
      </c>
      <c r="B68">
        <v>3.05</v>
      </c>
      <c r="C68">
        <v>2.8</v>
      </c>
      <c r="D68">
        <v>0</v>
      </c>
      <c r="E68">
        <v>0</v>
      </c>
      <c r="F68">
        <v>0</v>
      </c>
      <c r="G68">
        <v>0</v>
      </c>
      <c r="H68">
        <f t="shared" si="9"/>
        <v>8.5399999999999991</v>
      </c>
    </row>
    <row r="70" spans="1:8" ht="21" x14ac:dyDescent="0.35">
      <c r="A70" s="35" t="s">
        <v>28</v>
      </c>
      <c r="B70" s="35"/>
      <c r="C70" s="35"/>
      <c r="D70" s="35"/>
      <c r="E70" s="2" t="s">
        <v>10</v>
      </c>
      <c r="F70" s="1">
        <f>(H72+H73+H74+H75)</f>
        <v>12.632285714285715</v>
      </c>
      <c r="G70" s="2" t="s">
        <v>12</v>
      </c>
      <c r="H70" s="1">
        <f>(F70/C3)</f>
        <v>474.89795918367344</v>
      </c>
    </row>
    <row r="71" spans="1:8" x14ac:dyDescent="0.25">
      <c r="B71" t="s">
        <v>4</v>
      </c>
      <c r="C71" t="s">
        <v>5</v>
      </c>
      <c r="D71" t="s">
        <v>6</v>
      </c>
      <c r="E71" t="s">
        <v>7</v>
      </c>
      <c r="F71" t="s">
        <v>9</v>
      </c>
      <c r="G71" t="s">
        <v>8</v>
      </c>
      <c r="H71" t="s">
        <v>10</v>
      </c>
    </row>
    <row r="72" spans="1:8" x14ac:dyDescent="0.25">
      <c r="A72" t="s">
        <v>0</v>
      </c>
      <c r="B72">
        <v>1.86</v>
      </c>
      <c r="C72">
        <v>2.8</v>
      </c>
      <c r="D72">
        <v>0</v>
      </c>
      <c r="E72">
        <v>0</v>
      </c>
      <c r="F72">
        <v>0</v>
      </c>
      <c r="G72">
        <v>0</v>
      </c>
      <c r="H72">
        <f>(B72*C72-(D72*E72)-(F72*G72))</f>
        <v>5.2080000000000002</v>
      </c>
    </row>
    <row r="73" spans="1:8" x14ac:dyDescent="0.25">
      <c r="A73" t="s">
        <v>1</v>
      </c>
      <c r="B73">
        <v>1.55</v>
      </c>
      <c r="C73">
        <v>2.8</v>
      </c>
      <c r="D73">
        <v>0.8</v>
      </c>
      <c r="E73">
        <v>2.1</v>
      </c>
      <c r="F73">
        <v>0</v>
      </c>
      <c r="G73">
        <v>0</v>
      </c>
      <c r="H73">
        <f t="shared" ref="H73" si="10">(B73*C73-(D73*E73)-(F73*G73))</f>
        <v>2.6599999999999997</v>
      </c>
    </row>
    <row r="75" spans="1:8" ht="21" x14ac:dyDescent="0.35">
      <c r="A75" s="35" t="s">
        <v>29</v>
      </c>
      <c r="B75" s="35"/>
      <c r="C75" s="35"/>
      <c r="D75" s="35"/>
      <c r="E75" s="2" t="s">
        <v>10</v>
      </c>
      <c r="F75" s="1">
        <f>(H77+H78+H79+H80)</f>
        <v>13.34</v>
      </c>
      <c r="G75" s="2" t="s">
        <v>12</v>
      </c>
      <c r="H75" s="1">
        <f>(F75/C8)</f>
        <v>4.7642857142857142</v>
      </c>
    </row>
    <row r="76" spans="1:8" x14ac:dyDescent="0.25">
      <c r="B76" t="s">
        <v>4</v>
      </c>
      <c r="C76" t="s">
        <v>5</v>
      </c>
      <c r="D76" t="s">
        <v>6</v>
      </c>
      <c r="E76" t="s">
        <v>7</v>
      </c>
      <c r="F76" t="s">
        <v>9</v>
      </c>
      <c r="G76" t="s">
        <v>8</v>
      </c>
      <c r="H76" t="s">
        <v>10</v>
      </c>
    </row>
    <row r="77" spans="1:8" x14ac:dyDescent="0.25">
      <c r="A77" t="s">
        <v>0</v>
      </c>
      <c r="B77">
        <v>1</v>
      </c>
      <c r="C77">
        <v>2.8</v>
      </c>
      <c r="D77">
        <v>0</v>
      </c>
      <c r="E77">
        <v>0</v>
      </c>
      <c r="F77">
        <v>0</v>
      </c>
      <c r="G77">
        <v>0</v>
      </c>
      <c r="H77">
        <f>(B77*C77-(D77*E77)-(F77*G77))</f>
        <v>2.8</v>
      </c>
    </row>
    <row r="78" spans="1:8" x14ac:dyDescent="0.25">
      <c r="A78" t="s">
        <v>1</v>
      </c>
      <c r="B78">
        <v>1</v>
      </c>
      <c r="C78">
        <v>2.8</v>
      </c>
      <c r="D78">
        <v>0.3</v>
      </c>
      <c r="E78">
        <v>1.2</v>
      </c>
      <c r="F78">
        <v>0</v>
      </c>
      <c r="G78">
        <v>0</v>
      </c>
      <c r="H78">
        <f t="shared" ref="H78" si="11">(B78*C78-(D78*E78)-(F78*G78))</f>
        <v>2.44</v>
      </c>
    </row>
    <row r="79" spans="1:8" x14ac:dyDescent="0.25">
      <c r="A79" t="s">
        <v>2</v>
      </c>
      <c r="B79">
        <v>5.3</v>
      </c>
      <c r="C79">
        <v>2.8</v>
      </c>
      <c r="D79">
        <v>0</v>
      </c>
      <c r="E79">
        <v>0</v>
      </c>
      <c r="F79">
        <v>0</v>
      </c>
      <c r="G79">
        <v>0</v>
      </c>
      <c r="H79">
        <f>SUM(B79:G79)</f>
        <v>8.1</v>
      </c>
    </row>
  </sheetData>
  <mergeCells count="14">
    <mergeCell ref="A19:D19"/>
    <mergeCell ref="A26:D26"/>
    <mergeCell ref="A33:D33"/>
    <mergeCell ref="A1:D2"/>
    <mergeCell ref="A3:A4"/>
    <mergeCell ref="B3:B4"/>
    <mergeCell ref="A5:D5"/>
    <mergeCell ref="A12:D12"/>
    <mergeCell ref="A70:D70"/>
    <mergeCell ref="A75:D75"/>
    <mergeCell ref="A40:D40"/>
    <mergeCell ref="A47:D47"/>
    <mergeCell ref="A54:D54"/>
    <mergeCell ref="A61:D61"/>
  </mergeCell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DAE01-AE69-4874-8097-E23B60B5EBEB}">
  <sheetPr codeName="Planilha3"/>
  <dimension ref="A1:I22"/>
  <sheetViews>
    <sheetView tabSelected="1" zoomScaleNormal="100" workbookViewId="0">
      <selection activeCell="J1" sqref="J1"/>
    </sheetView>
  </sheetViews>
  <sheetFormatPr defaultRowHeight="15" x14ac:dyDescent="0.25"/>
  <cols>
    <col min="1" max="1" width="47.28515625" customWidth="1"/>
    <col min="2" max="2" width="9.7109375" customWidth="1"/>
    <col min="3" max="9" width="10.140625" bestFit="1" customWidth="1"/>
    <col min="10" max="10" width="10.42578125" bestFit="1" customWidth="1"/>
  </cols>
  <sheetData>
    <row r="1" spans="1:9" ht="18.75" x14ac:dyDescent="0.25">
      <c r="A1" s="31" t="s">
        <v>30</v>
      </c>
      <c r="B1" s="31"/>
      <c r="C1" s="31"/>
      <c r="D1" s="31"/>
      <c r="E1" s="31"/>
      <c r="F1" s="31"/>
      <c r="G1" s="31"/>
      <c r="H1" s="31"/>
      <c r="I1" s="31"/>
    </row>
    <row r="2" spans="1:9" x14ac:dyDescent="0.25">
      <c r="A2" s="6" t="s">
        <v>31</v>
      </c>
      <c r="B2" s="29" t="s">
        <v>32</v>
      </c>
      <c r="C2" s="9" t="s">
        <v>38</v>
      </c>
      <c r="D2" s="9" t="s">
        <v>39</v>
      </c>
      <c r="E2" s="11" t="s">
        <v>40</v>
      </c>
      <c r="F2" s="11" t="s">
        <v>76</v>
      </c>
      <c r="G2" s="11" t="s">
        <v>77</v>
      </c>
      <c r="H2" s="11" t="s">
        <v>78</v>
      </c>
      <c r="I2" s="11" t="s">
        <v>79</v>
      </c>
    </row>
    <row r="3" spans="1:9" x14ac:dyDescent="0.25">
      <c r="A3" s="27" t="s">
        <v>45</v>
      </c>
      <c r="B3" s="27" t="s">
        <v>44</v>
      </c>
      <c r="C3" s="28">
        <v>1.49</v>
      </c>
      <c r="D3" s="28">
        <v>1.5</v>
      </c>
      <c r="E3" s="28">
        <v>2.0299999999999998</v>
      </c>
      <c r="F3" s="28">
        <v>1</v>
      </c>
      <c r="G3" s="28">
        <v>23</v>
      </c>
      <c r="H3" s="28">
        <v>2</v>
      </c>
      <c r="I3" s="28">
        <v>2.2999999999999998</v>
      </c>
    </row>
    <row r="4" spans="1:9" x14ac:dyDescent="0.25">
      <c r="A4" s="27" t="s">
        <v>46</v>
      </c>
      <c r="B4" s="27" t="s">
        <v>44</v>
      </c>
      <c r="C4" s="28">
        <v>1.99</v>
      </c>
      <c r="D4" s="28">
        <v>2.0499999999999998</v>
      </c>
      <c r="E4" s="28">
        <v>10</v>
      </c>
      <c r="F4" s="28">
        <v>1.5</v>
      </c>
      <c r="G4" s="28">
        <v>1.3</v>
      </c>
      <c r="H4" s="28">
        <v>1.6</v>
      </c>
      <c r="I4" s="28">
        <v>10</v>
      </c>
    </row>
    <row r="5" spans="1:9" x14ac:dyDescent="0.25">
      <c r="A5" s="27" t="s">
        <v>47</v>
      </c>
      <c r="B5" s="27" t="s">
        <v>44</v>
      </c>
      <c r="C5" s="28">
        <v>3.29</v>
      </c>
      <c r="D5" s="28">
        <v>3</v>
      </c>
      <c r="E5" s="28">
        <v>3.1</v>
      </c>
      <c r="F5" s="28">
        <v>3.3</v>
      </c>
      <c r="G5" s="28">
        <v>3.2</v>
      </c>
      <c r="H5" s="28">
        <v>3.25</v>
      </c>
      <c r="I5" s="28">
        <v>3</v>
      </c>
    </row>
    <row r="6" spans="1:9" x14ac:dyDescent="0.25">
      <c r="A6" s="27" t="s">
        <v>48</v>
      </c>
      <c r="B6" s="27" t="s">
        <v>49</v>
      </c>
      <c r="C6" s="28">
        <v>0.39</v>
      </c>
      <c r="D6" s="28">
        <v>0.4</v>
      </c>
      <c r="E6" s="28">
        <v>0.35</v>
      </c>
      <c r="F6" s="28">
        <v>0.45</v>
      </c>
      <c r="G6" s="28">
        <v>0.4</v>
      </c>
      <c r="H6" s="28">
        <v>0.3</v>
      </c>
      <c r="I6" s="28">
        <v>0.2</v>
      </c>
    </row>
    <row r="7" spans="1:9" x14ac:dyDescent="0.25">
      <c r="A7" s="27" t="s">
        <v>50</v>
      </c>
      <c r="B7" s="27" t="s">
        <v>49</v>
      </c>
      <c r="C7" s="28">
        <v>0.9</v>
      </c>
      <c r="D7" s="28">
        <v>0.95</v>
      </c>
      <c r="E7" s="28">
        <v>0.85</v>
      </c>
      <c r="F7" s="28">
        <v>0.8</v>
      </c>
      <c r="G7" s="28">
        <v>6</v>
      </c>
      <c r="H7" s="28">
        <v>0.6</v>
      </c>
      <c r="I7" s="28">
        <v>8</v>
      </c>
    </row>
    <row r="8" spans="1:9" x14ac:dyDescent="0.25">
      <c r="A8" s="27" t="s">
        <v>51</v>
      </c>
      <c r="B8" s="27" t="s">
        <v>44</v>
      </c>
      <c r="C8" s="28">
        <v>10</v>
      </c>
      <c r="D8" s="28">
        <v>1</v>
      </c>
      <c r="E8" s="28">
        <v>3</v>
      </c>
      <c r="F8" s="28">
        <v>1.2</v>
      </c>
      <c r="G8" s="28">
        <v>1.3</v>
      </c>
      <c r="H8" s="28">
        <v>1.5</v>
      </c>
      <c r="I8" s="28">
        <v>1.23</v>
      </c>
    </row>
    <row r="9" spans="1:9" x14ac:dyDescent="0.25">
      <c r="A9" s="27" t="s">
        <v>52</v>
      </c>
      <c r="B9" s="27" t="s">
        <v>44</v>
      </c>
      <c r="C9" s="28">
        <v>1.2</v>
      </c>
      <c r="D9" s="28">
        <v>6</v>
      </c>
      <c r="E9" s="28">
        <v>1.25</v>
      </c>
      <c r="F9" s="28">
        <v>1</v>
      </c>
      <c r="G9" s="28">
        <v>1.1000000000000001</v>
      </c>
      <c r="H9" s="28">
        <v>1.25</v>
      </c>
      <c r="I9" s="28">
        <v>1.3</v>
      </c>
    </row>
    <row r="10" spans="1:9" x14ac:dyDescent="0.25">
      <c r="A10" s="27" t="s">
        <v>53</v>
      </c>
      <c r="B10" s="27" t="s">
        <v>44</v>
      </c>
      <c r="C10" s="28">
        <v>8.7899999999999991</v>
      </c>
      <c r="D10" s="28">
        <v>8.5</v>
      </c>
      <c r="E10" s="28">
        <v>10</v>
      </c>
      <c r="F10" s="28">
        <v>20</v>
      </c>
      <c r="G10" s="28">
        <v>8.1999999999999993</v>
      </c>
      <c r="H10" s="28">
        <v>11</v>
      </c>
      <c r="I10" s="28">
        <v>8.4499999999999993</v>
      </c>
    </row>
    <row r="11" spans="1:9" x14ac:dyDescent="0.25">
      <c r="A11" s="27" t="s">
        <v>54</v>
      </c>
      <c r="B11" s="27" t="s">
        <v>44</v>
      </c>
      <c r="C11" s="28">
        <v>120</v>
      </c>
      <c r="D11" s="28">
        <v>83.2</v>
      </c>
      <c r="E11" s="28">
        <v>83.9</v>
      </c>
      <c r="F11" s="28">
        <v>80</v>
      </c>
      <c r="G11" s="28">
        <v>81</v>
      </c>
      <c r="H11" s="28">
        <v>82</v>
      </c>
      <c r="I11" s="28">
        <v>150</v>
      </c>
    </row>
    <row r="12" spans="1:9" x14ac:dyDescent="0.25">
      <c r="A12" s="27" t="s">
        <v>55</v>
      </c>
      <c r="B12" s="27" t="s">
        <v>44</v>
      </c>
      <c r="C12" s="28">
        <v>1.0900000000000001</v>
      </c>
      <c r="D12" s="28">
        <v>1.1000000000000001</v>
      </c>
      <c r="E12" s="28">
        <v>10.5</v>
      </c>
      <c r="F12" s="28">
        <v>10</v>
      </c>
      <c r="G12" s="28">
        <v>10</v>
      </c>
      <c r="H12" s="28">
        <v>1.25</v>
      </c>
      <c r="I12" s="28">
        <v>20</v>
      </c>
    </row>
    <row r="13" spans="1:9" x14ac:dyDescent="0.25">
      <c r="A13" s="27" t="s">
        <v>56</v>
      </c>
      <c r="B13" s="27" t="s">
        <v>44</v>
      </c>
      <c r="C13" s="28">
        <v>28</v>
      </c>
      <c r="D13" s="28">
        <v>28.5</v>
      </c>
      <c r="E13" s="28">
        <v>28.3</v>
      </c>
      <c r="F13" s="28">
        <v>25</v>
      </c>
      <c r="G13" s="28">
        <v>26.8</v>
      </c>
      <c r="H13" s="28">
        <v>27</v>
      </c>
      <c r="I13" s="28">
        <v>50</v>
      </c>
    </row>
    <row r="14" spans="1:9" x14ac:dyDescent="0.25">
      <c r="A14" s="27" t="s">
        <v>57</v>
      </c>
      <c r="B14" s="27" t="s">
        <v>44</v>
      </c>
      <c r="C14" s="28">
        <v>46.9</v>
      </c>
      <c r="D14" s="28">
        <v>80</v>
      </c>
      <c r="E14" s="28">
        <v>46.5</v>
      </c>
      <c r="F14" s="28">
        <v>45</v>
      </c>
      <c r="G14" s="28">
        <v>46.3</v>
      </c>
      <c r="H14" s="28">
        <v>60</v>
      </c>
      <c r="I14" s="28">
        <v>49.9</v>
      </c>
    </row>
    <row r="15" spans="1:9" x14ac:dyDescent="0.25">
      <c r="A15" s="27" t="s">
        <v>58</v>
      </c>
      <c r="B15" s="27" t="s">
        <v>44</v>
      </c>
      <c r="C15" s="28">
        <v>119</v>
      </c>
      <c r="D15" s="28">
        <v>120</v>
      </c>
      <c r="E15" s="28">
        <v>10</v>
      </c>
      <c r="F15" s="28">
        <v>200</v>
      </c>
      <c r="G15" s="28">
        <v>125</v>
      </c>
      <c r="H15" s="28">
        <v>120.3</v>
      </c>
      <c r="I15" s="28">
        <v>118</v>
      </c>
    </row>
    <row r="16" spans="1:9" x14ac:dyDescent="0.25">
      <c r="A16" s="27" t="s">
        <v>59</v>
      </c>
      <c r="B16" s="27" t="s">
        <v>44</v>
      </c>
      <c r="C16" s="28">
        <v>18.899999999999999</v>
      </c>
      <c r="D16" s="28">
        <v>18</v>
      </c>
      <c r="E16" s="28">
        <v>18.5</v>
      </c>
      <c r="F16" s="28">
        <v>20</v>
      </c>
      <c r="G16" s="28">
        <v>18.3</v>
      </c>
      <c r="H16" s="28">
        <v>18.45</v>
      </c>
      <c r="I16" s="28">
        <v>17.989999999999998</v>
      </c>
    </row>
    <row r="17" spans="1:9" x14ac:dyDescent="0.25">
      <c r="A17" s="27" t="s">
        <v>60</v>
      </c>
      <c r="B17" s="27" t="s">
        <v>44</v>
      </c>
      <c r="C17" s="28">
        <v>123</v>
      </c>
      <c r="D17" s="28">
        <v>123.2</v>
      </c>
      <c r="E17" s="28">
        <v>122</v>
      </c>
      <c r="F17" s="28">
        <v>120</v>
      </c>
      <c r="G17" s="28">
        <v>121</v>
      </c>
      <c r="H17" s="28">
        <v>120.3</v>
      </c>
      <c r="I17" s="28">
        <v>125</v>
      </c>
    </row>
    <row r="18" spans="1:9" x14ac:dyDescent="0.25">
      <c r="A18" s="27" t="s">
        <v>61</v>
      </c>
      <c r="B18" s="27" t="s">
        <v>44</v>
      </c>
      <c r="C18" s="28">
        <v>20</v>
      </c>
      <c r="D18" s="28">
        <v>22</v>
      </c>
      <c r="E18" s="28">
        <v>30</v>
      </c>
      <c r="F18" s="28">
        <v>21.99</v>
      </c>
      <c r="G18" s="28">
        <v>21.9</v>
      </c>
      <c r="H18" s="28">
        <v>22.3</v>
      </c>
      <c r="I18" s="28">
        <v>22.5</v>
      </c>
    </row>
    <row r="19" spans="1:9" x14ac:dyDescent="0.25">
      <c r="A19" s="27" t="s">
        <v>62</v>
      </c>
      <c r="B19" s="27" t="s">
        <v>44</v>
      </c>
      <c r="C19" s="28">
        <v>0.59</v>
      </c>
      <c r="D19" s="28">
        <v>0.5</v>
      </c>
      <c r="E19" s="28">
        <v>0.55000000000000004</v>
      </c>
      <c r="F19" s="28">
        <v>0.45</v>
      </c>
      <c r="G19" s="28">
        <v>3</v>
      </c>
      <c r="H19" s="28">
        <v>0.6</v>
      </c>
      <c r="I19" s="28">
        <v>0.75</v>
      </c>
    </row>
    <row r="20" spans="1:9" x14ac:dyDescent="0.25">
      <c r="A20" s="27" t="s">
        <v>63</v>
      </c>
      <c r="B20" s="27" t="s">
        <v>44</v>
      </c>
      <c r="C20" s="28">
        <v>0.45</v>
      </c>
      <c r="D20" s="28">
        <v>10</v>
      </c>
      <c r="E20" s="28">
        <v>0.6</v>
      </c>
      <c r="F20" s="28">
        <v>8</v>
      </c>
      <c r="G20" s="28">
        <v>0.56000000000000005</v>
      </c>
      <c r="H20" s="28">
        <v>0.57999999999999996</v>
      </c>
      <c r="I20" s="28">
        <v>0.56999999999999995</v>
      </c>
    </row>
    <row r="21" spans="1:9" x14ac:dyDescent="0.25">
      <c r="A21" s="27" t="s">
        <v>64</v>
      </c>
      <c r="B21" s="27" t="s">
        <v>44</v>
      </c>
      <c r="C21" s="28">
        <v>0.49</v>
      </c>
      <c r="D21" s="28">
        <v>5</v>
      </c>
      <c r="E21" s="28">
        <v>0.55000000000000004</v>
      </c>
      <c r="F21" s="28">
        <v>10</v>
      </c>
      <c r="G21" s="28">
        <v>0.3</v>
      </c>
      <c r="H21" s="28">
        <v>0.45</v>
      </c>
      <c r="I21" s="28">
        <v>0.65</v>
      </c>
    </row>
    <row r="22" spans="1:9" x14ac:dyDescent="0.25">
      <c r="A22" s="27" t="s">
        <v>65</v>
      </c>
      <c r="B22" s="27" t="s">
        <v>44</v>
      </c>
      <c r="C22" s="28">
        <v>1.29</v>
      </c>
      <c r="D22" s="28">
        <v>1</v>
      </c>
      <c r="E22" s="28">
        <v>1.2</v>
      </c>
      <c r="F22" s="28">
        <v>1.3</v>
      </c>
      <c r="G22" s="28">
        <v>10</v>
      </c>
      <c r="H22" s="28">
        <v>8</v>
      </c>
      <c r="I22" s="28">
        <v>1.4</v>
      </c>
    </row>
  </sheetData>
  <mergeCells count="1">
    <mergeCell ref="A1:I1"/>
  </mergeCells>
  <phoneticPr fontId="5" type="noConversion"/>
  <conditionalFormatting sqref="C3:I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E5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K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K10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K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K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:K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K9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K1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K1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:K12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K1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:K1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K1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:K1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K1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K1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K19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K2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K2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:K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J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J4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J5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2">
    <dataValidation type="list" allowBlank="1" showInputMessage="1" showErrorMessage="1" sqref="B3:B33" xr:uid="{61A2B162-5C69-4CA8-BF82-5A0123CD4373}">
      <formula1>UnidadesMedidas</formula1>
    </dataValidation>
    <dataValidation type="list" allowBlank="1" showInputMessage="1" showErrorMessage="1" sqref="C2:E2 F2:I2" xr:uid="{2EFECA15-ADF3-4032-9DA8-6D45A37CE25E}">
      <formula1>Fornecedores</formula1>
    </dataValidation>
  </dataValidations>
  <pageMargins left="0.511811024" right="0.511811024" top="0.78740157499999996" bottom="0.78740157499999996" header="0.31496062000000002" footer="0.31496062000000002"/>
  <pageSetup paperSize="9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CEAAB-3D9E-4EC7-AEDD-2D6C49B1082E}">
  <sheetPr codeName="Planilha5"/>
  <dimension ref="A1:D5"/>
  <sheetViews>
    <sheetView workbookViewId="0">
      <selection activeCell="E18" sqref="E18"/>
    </sheetView>
  </sheetViews>
  <sheetFormatPr defaultRowHeight="15" x14ac:dyDescent="0.25"/>
  <cols>
    <col min="1" max="1" width="11.28515625" bestFit="1" customWidth="1"/>
    <col min="2" max="2" width="15.42578125" customWidth="1"/>
    <col min="3" max="3" width="10.140625" bestFit="1" customWidth="1"/>
  </cols>
  <sheetData>
    <row r="1" spans="1:4" ht="18.75" x14ac:dyDescent="0.25">
      <c r="A1" s="31" t="s">
        <v>85</v>
      </c>
      <c r="B1" s="31"/>
      <c r="C1" s="31"/>
      <c r="D1" s="31"/>
    </row>
    <row r="2" spans="1:4" x14ac:dyDescent="0.25">
      <c r="A2" s="26" t="s">
        <v>31</v>
      </c>
      <c r="B2" s="26" t="s">
        <v>32</v>
      </c>
      <c r="C2" s="26" t="s">
        <v>90</v>
      </c>
      <c r="D2" t="s">
        <v>75</v>
      </c>
    </row>
    <row r="3" spans="1:4" x14ac:dyDescent="0.25">
      <c r="A3" s="7" t="s">
        <v>86</v>
      </c>
      <c r="B3" t="s">
        <v>88</v>
      </c>
      <c r="C3" s="8">
        <v>300</v>
      </c>
      <c r="D3" t="s">
        <v>88</v>
      </c>
    </row>
    <row r="4" spans="1:4" x14ac:dyDescent="0.25">
      <c r="A4" s="7" t="s">
        <v>87</v>
      </c>
      <c r="B4" t="s">
        <v>88</v>
      </c>
      <c r="C4" s="8">
        <v>350</v>
      </c>
    </row>
    <row r="5" spans="1:4" x14ac:dyDescent="0.25">
      <c r="A5" s="7" t="s">
        <v>89</v>
      </c>
      <c r="B5" t="s">
        <v>88</v>
      </c>
      <c r="C5" s="8">
        <v>400</v>
      </c>
    </row>
  </sheetData>
  <mergeCells count="1">
    <mergeCell ref="A1:D1"/>
  </mergeCells>
  <phoneticPr fontId="5" type="noConversion"/>
  <conditionalFormatting sqref="C5:E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">
    <cfRule type="colorScale" priority="15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5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E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E4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C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2">
    <dataValidation type="list" allowBlank="1" showInputMessage="1" showErrorMessage="1" sqref="B3:B5" xr:uid="{669E3E00-E35B-46DF-AD71-E90161FCC591}">
      <formula1>MedidasTrabalhador</formula1>
    </dataValidation>
    <dataValidation type="list" allowBlank="1" showInputMessage="1" showErrorMessage="1" sqref="A3:A5" xr:uid="{CB55CE2B-636D-46D8-AA61-E5FCBACC444E}">
      <formula1>Trabalhador</formula1>
    </dataValidation>
  </dataValidations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A20F-1455-4F78-9A4B-866F60B36CEC}">
  <sheetPr codeName="Planilha4"/>
  <dimension ref="A1:D15"/>
  <sheetViews>
    <sheetView zoomScaleNormal="100" workbookViewId="0">
      <selection activeCell="B20" sqref="B20"/>
    </sheetView>
  </sheetViews>
  <sheetFormatPr defaultRowHeight="15" x14ac:dyDescent="0.25"/>
  <cols>
    <col min="1" max="1" width="28.28515625" bestFit="1" customWidth="1"/>
    <col min="2" max="2" width="27.5703125" customWidth="1"/>
    <col min="3" max="3" width="13.7109375" bestFit="1" customWidth="1"/>
    <col min="4" max="4" width="14.5703125" bestFit="1" customWidth="1"/>
  </cols>
  <sheetData>
    <row r="1" spans="1:4" ht="15" customHeight="1" x14ac:dyDescent="0.25">
      <c r="A1" s="31" t="s">
        <v>33</v>
      </c>
      <c r="B1" s="31"/>
      <c r="C1" s="31"/>
      <c r="D1" s="31"/>
    </row>
    <row r="2" spans="1:4" x14ac:dyDescent="0.25">
      <c r="A2" t="s">
        <v>34</v>
      </c>
      <c r="B2" t="s">
        <v>35</v>
      </c>
      <c r="C2" t="s">
        <v>36</v>
      </c>
      <c r="D2" t="s">
        <v>37</v>
      </c>
    </row>
    <row r="3" spans="1:4" x14ac:dyDescent="0.25">
      <c r="A3" t="s">
        <v>38</v>
      </c>
      <c r="B3" t="s">
        <v>41</v>
      </c>
      <c r="C3" s="5">
        <v>1111111111</v>
      </c>
      <c r="D3" s="5">
        <v>2222222222</v>
      </c>
    </row>
    <row r="4" spans="1:4" x14ac:dyDescent="0.25">
      <c r="A4" t="s">
        <v>39</v>
      </c>
      <c r="B4" t="s">
        <v>42</v>
      </c>
      <c r="C4" s="5">
        <v>1111111111</v>
      </c>
      <c r="D4" s="5">
        <v>2222222222</v>
      </c>
    </row>
    <row r="5" spans="1:4" x14ac:dyDescent="0.25">
      <c r="A5" t="s">
        <v>40</v>
      </c>
      <c r="B5" t="s">
        <v>43</v>
      </c>
      <c r="C5" s="5">
        <v>1111111111</v>
      </c>
      <c r="D5" s="5">
        <v>2222222222</v>
      </c>
    </row>
    <row r="6" spans="1:4" x14ac:dyDescent="0.25">
      <c r="A6" t="s">
        <v>76</v>
      </c>
      <c r="C6" s="18"/>
      <c r="D6" s="5"/>
    </row>
    <row r="7" spans="1:4" x14ac:dyDescent="0.25">
      <c r="A7" t="s">
        <v>77</v>
      </c>
      <c r="C7" s="18"/>
      <c r="D7" s="5"/>
    </row>
    <row r="8" spans="1:4" x14ac:dyDescent="0.25">
      <c r="A8" t="s">
        <v>78</v>
      </c>
      <c r="C8" s="18"/>
      <c r="D8" s="5"/>
    </row>
    <row r="9" spans="1:4" x14ac:dyDescent="0.25">
      <c r="A9" t="s">
        <v>79</v>
      </c>
      <c r="C9" s="18"/>
      <c r="D9" s="5"/>
    </row>
    <row r="11" spans="1:4" ht="18.75" x14ac:dyDescent="0.25">
      <c r="A11" s="31" t="s">
        <v>85</v>
      </c>
      <c r="B11" s="31"/>
      <c r="C11" s="31"/>
      <c r="D11" s="31"/>
    </row>
    <row r="12" spans="1:4" x14ac:dyDescent="0.25">
      <c r="A12" t="s">
        <v>34</v>
      </c>
      <c r="B12" t="s">
        <v>35</v>
      </c>
      <c r="C12" t="s">
        <v>36</v>
      </c>
      <c r="D12" t="s">
        <v>37</v>
      </c>
    </row>
    <row r="13" spans="1:4" x14ac:dyDescent="0.25">
      <c r="A13" t="s">
        <v>86</v>
      </c>
      <c r="B13" t="s">
        <v>41</v>
      </c>
      <c r="C13" s="5">
        <v>1111111111</v>
      </c>
      <c r="D13" s="5">
        <v>2222222222</v>
      </c>
    </row>
    <row r="14" spans="1:4" x14ac:dyDescent="0.25">
      <c r="A14" t="s">
        <v>87</v>
      </c>
      <c r="B14" t="s">
        <v>42</v>
      </c>
      <c r="C14" s="5">
        <v>1111111111</v>
      </c>
      <c r="D14" s="5">
        <v>2222222222</v>
      </c>
    </row>
    <row r="15" spans="1:4" x14ac:dyDescent="0.25">
      <c r="A15" t="s">
        <v>89</v>
      </c>
      <c r="B15" t="s">
        <v>43</v>
      </c>
      <c r="C15" s="5">
        <v>1111111111</v>
      </c>
      <c r="D15" s="5">
        <v>2222222222</v>
      </c>
    </row>
  </sheetData>
  <mergeCells count="2">
    <mergeCell ref="A1:D1"/>
    <mergeCell ref="A11:D11"/>
  </mergeCells>
  <phoneticPr fontId="5" type="noConversion"/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7</vt:i4>
      </vt:variant>
    </vt:vector>
  </HeadingPairs>
  <TitlesOfParts>
    <vt:vector size="12" baseType="lpstr">
      <vt:lpstr>Planejador</vt:lpstr>
      <vt:lpstr>Medidas</vt:lpstr>
      <vt:lpstr>Produtos</vt:lpstr>
      <vt:lpstr>Mão de Obra</vt:lpstr>
      <vt:lpstr>Fornecedores</vt:lpstr>
      <vt:lpstr>Fornecedores</vt:lpstr>
      <vt:lpstr>MedidasTrabalhador</vt:lpstr>
      <vt:lpstr>ProdutosNome</vt:lpstr>
      <vt:lpstr>Trabalhador</vt:lpstr>
      <vt:lpstr>VALOR__LOJA_1</vt:lpstr>
      <vt:lpstr>VALOR__LOJA_2</vt:lpstr>
      <vt:lpstr>VALOR__LOJA_3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Oliveira</dc:creator>
  <cp:lastModifiedBy>go</cp:lastModifiedBy>
  <cp:lastPrinted>2020-03-11T13:44:25Z</cp:lastPrinted>
  <dcterms:created xsi:type="dcterms:W3CDTF">2019-03-21T19:31:17Z</dcterms:created>
  <dcterms:modified xsi:type="dcterms:W3CDTF">2021-11-14T22:01:48Z</dcterms:modified>
</cp:coreProperties>
</file>